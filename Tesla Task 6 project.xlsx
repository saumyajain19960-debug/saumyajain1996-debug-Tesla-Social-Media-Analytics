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E:\Data Science Certification Course\Microsoft Excel\Project\"/>
    </mc:Choice>
  </mc:AlternateContent>
  <xr:revisionPtr revIDLastSave="0" documentId="13_ncr:1_{579F572D-A409-4606-9C2D-D8C79D80EFC5}" xr6:coauthVersionLast="47" xr6:coauthVersionMax="47" xr10:uidLastSave="{00000000-0000-0000-0000-000000000000}"/>
  <bookViews>
    <workbookView xWindow="-120" yWindow="-120" windowWidth="20730" windowHeight="11040" activeTab="4" xr2:uid="{1F86C41E-F056-4847-87E1-79C3D93F6DD4}"/>
  </bookViews>
  <sheets>
    <sheet name="Engagement Summary" sheetId="1" r:id="rId1"/>
    <sheet name="Pivot" sheetId="2" r:id="rId2"/>
    <sheet name="Calculation" sheetId="3" r:id="rId3"/>
    <sheet name="Moving average calculation" sheetId="5" r:id="rId4"/>
    <sheet name="Dashboard" sheetId="6" r:id="rId5"/>
  </sheets>
  <definedNames>
    <definedName name="ExternalData_3" localSheetId="0" hidden="1">'Engagement Summary'!$A$1:$G$201</definedName>
    <definedName name="ExternalData_3" localSheetId="1" hidden="1">Pivot!$A$57:$D$257</definedName>
  </definedNames>
  <calcPr calcId="191029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7" i="2" l="1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H201" i="1"/>
  <c r="H197" i="1"/>
  <c r="H193" i="1"/>
  <c r="H189" i="1"/>
  <c r="H185" i="1"/>
  <c r="H181" i="1"/>
  <c r="H177" i="1"/>
  <c r="H173" i="1"/>
  <c r="H169" i="1"/>
  <c r="H165" i="1"/>
  <c r="H161" i="1"/>
  <c r="H157" i="1"/>
  <c r="H153" i="1"/>
  <c r="H149" i="1"/>
  <c r="H145" i="1"/>
  <c r="H141" i="1"/>
  <c r="H137" i="1"/>
  <c r="H133" i="1"/>
  <c r="H129" i="1"/>
  <c r="H125" i="1"/>
  <c r="H121" i="1"/>
  <c r="H117" i="1"/>
  <c r="H113" i="1"/>
  <c r="H109" i="1"/>
  <c r="H105" i="1"/>
  <c r="H101" i="1"/>
  <c r="H97" i="1"/>
  <c r="H93" i="1"/>
  <c r="H89" i="1"/>
  <c r="H85" i="1"/>
  <c r="H81" i="1"/>
  <c r="H77" i="1"/>
  <c r="H73" i="1"/>
  <c r="H69" i="1"/>
  <c r="H65" i="1"/>
  <c r="H61" i="1"/>
  <c r="H57" i="1"/>
  <c r="H53" i="1"/>
  <c r="H49" i="1"/>
  <c r="H45" i="1"/>
  <c r="H41" i="1"/>
  <c r="H37" i="1"/>
  <c r="H33" i="1"/>
  <c r="H29" i="1"/>
  <c r="H25" i="1"/>
  <c r="H21" i="1"/>
  <c r="H17" i="1"/>
  <c r="H13" i="1"/>
  <c r="H9" i="1"/>
  <c r="H200" i="1"/>
  <c r="H196" i="1"/>
  <c r="H192" i="1"/>
  <c r="H188" i="1"/>
  <c r="H184" i="1"/>
  <c r="H180" i="1"/>
  <c r="H176" i="1"/>
  <c r="H172" i="1"/>
  <c r="H168" i="1"/>
  <c r="H164" i="1"/>
  <c r="H160" i="1"/>
  <c r="H156" i="1"/>
  <c r="H152" i="1"/>
  <c r="H148" i="1"/>
  <c r="H144" i="1"/>
  <c r="H140" i="1"/>
  <c r="H136" i="1"/>
  <c r="H132" i="1"/>
  <c r="H128" i="1"/>
  <c r="H124" i="1"/>
  <c r="H120" i="1"/>
  <c r="H116" i="1"/>
  <c r="H112" i="1"/>
  <c r="H108" i="1"/>
  <c r="H104" i="1"/>
  <c r="H100" i="1"/>
  <c r="H96" i="1"/>
  <c r="H92" i="1"/>
  <c r="H88" i="1"/>
  <c r="H84" i="1"/>
  <c r="H80" i="1"/>
  <c r="H76" i="1"/>
  <c r="H72" i="1"/>
  <c r="H68" i="1"/>
  <c r="H64" i="1"/>
  <c r="H60" i="1"/>
  <c r="H56" i="1"/>
  <c r="H52" i="1"/>
  <c r="H48" i="1"/>
  <c r="H44" i="1"/>
  <c r="H40" i="1"/>
  <c r="H36" i="1"/>
  <c r="H32" i="1"/>
  <c r="H28" i="1"/>
  <c r="H24" i="1"/>
  <c r="H20" i="1"/>
  <c r="H16" i="1"/>
  <c r="H12" i="1"/>
  <c r="H8" i="1"/>
  <c r="H198" i="1"/>
  <c r="H194" i="1"/>
  <c r="H190" i="1"/>
  <c r="H186" i="1"/>
  <c r="H182" i="1"/>
  <c r="H178" i="1"/>
  <c r="H174" i="1"/>
  <c r="H170" i="1"/>
  <c r="H166" i="1"/>
  <c r="H162" i="1"/>
  <c r="H158" i="1"/>
  <c r="H154" i="1"/>
  <c r="H150" i="1"/>
  <c r="H146" i="1"/>
  <c r="H142" i="1"/>
  <c r="H138" i="1"/>
  <c r="H134" i="1"/>
  <c r="H130" i="1"/>
  <c r="H126" i="1"/>
  <c r="H122" i="1"/>
  <c r="H118" i="1"/>
  <c r="H114" i="1"/>
  <c r="H110" i="1"/>
  <c r="H106" i="1"/>
  <c r="H102" i="1"/>
  <c r="H98" i="1"/>
  <c r="H94" i="1"/>
  <c r="H90" i="1"/>
  <c r="H86" i="1"/>
  <c r="H82" i="1"/>
  <c r="H78" i="1"/>
  <c r="H74" i="1"/>
  <c r="H70" i="1"/>
  <c r="H66" i="1"/>
  <c r="H62" i="1"/>
  <c r="H58" i="1"/>
  <c r="H54" i="1"/>
  <c r="H50" i="1"/>
  <c r="H46" i="1"/>
  <c r="H42" i="1"/>
  <c r="H38" i="1"/>
  <c r="H34" i="1"/>
  <c r="H30" i="1"/>
  <c r="H26" i="1"/>
  <c r="H22" i="1"/>
  <c r="H18" i="1"/>
  <c r="H14" i="1"/>
  <c r="H10" i="1"/>
  <c r="H6" i="1"/>
  <c r="H199" i="1"/>
  <c r="H195" i="1"/>
  <c r="H191" i="1"/>
  <c r="H187" i="1"/>
  <c r="H183" i="1"/>
  <c r="H179" i="1"/>
  <c r="H175" i="1"/>
  <c r="H171" i="1"/>
  <c r="H167" i="1"/>
  <c r="H163" i="1"/>
  <c r="H159" i="1"/>
  <c r="H155" i="1"/>
  <c r="H151" i="1"/>
  <c r="H147" i="1"/>
  <c r="H143" i="1"/>
  <c r="H139" i="1"/>
  <c r="H135" i="1"/>
  <c r="H131" i="1"/>
  <c r="H127" i="1"/>
  <c r="H123" i="1"/>
  <c r="H119" i="1"/>
  <c r="H115" i="1"/>
  <c r="H111" i="1"/>
  <c r="H107" i="1"/>
  <c r="H103" i="1"/>
  <c r="H99" i="1"/>
  <c r="H95" i="1"/>
  <c r="H91" i="1"/>
  <c r="H87" i="1"/>
  <c r="H83" i="1"/>
  <c r="H79" i="1"/>
  <c r="H75" i="1"/>
  <c r="H71" i="1"/>
  <c r="H67" i="1"/>
  <c r="H63" i="1"/>
  <c r="H59" i="1"/>
  <c r="H55" i="1"/>
  <c r="H51" i="1"/>
  <c r="H47" i="1"/>
  <c r="H43" i="1"/>
  <c r="H39" i="1"/>
  <c r="H35" i="1"/>
  <c r="H31" i="1"/>
  <c r="H27" i="1"/>
  <c r="H7" i="1"/>
  <c r="H23" i="1"/>
  <c r="H19" i="1"/>
  <c r="H15" i="1"/>
  <c r="H11" i="1"/>
  <c r="J8" i="5" l="1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J7" i="5"/>
  <c r="I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7" i="5"/>
  <c r="H4" i="3"/>
  <c r="I4" i="3"/>
  <c r="J4" i="3"/>
  <c r="H5" i="3"/>
  <c r="I5" i="3"/>
  <c r="J5" i="3"/>
  <c r="H6" i="3"/>
  <c r="I6" i="3"/>
  <c r="J6" i="3"/>
  <c r="H7" i="3"/>
  <c r="I7" i="3"/>
  <c r="J7" i="3"/>
  <c r="H8" i="3"/>
  <c r="I8" i="3"/>
  <c r="J8" i="3"/>
  <c r="H9" i="3"/>
  <c r="I9" i="3"/>
  <c r="J9" i="3"/>
  <c r="H10" i="3"/>
  <c r="I10" i="3"/>
  <c r="J10" i="3"/>
  <c r="H11" i="3"/>
  <c r="I11" i="3"/>
  <c r="J11" i="3"/>
  <c r="H12" i="3"/>
  <c r="I12" i="3"/>
  <c r="J12" i="3"/>
  <c r="H13" i="3"/>
  <c r="I13" i="3"/>
  <c r="J13" i="3"/>
  <c r="H14" i="3"/>
  <c r="I14" i="3"/>
  <c r="J14" i="3"/>
  <c r="H15" i="3"/>
  <c r="I15" i="3"/>
  <c r="J15" i="3"/>
  <c r="H16" i="3"/>
  <c r="I16" i="3"/>
  <c r="J16" i="3"/>
  <c r="H17" i="3"/>
  <c r="I17" i="3"/>
  <c r="J17" i="3"/>
  <c r="H18" i="3"/>
  <c r="I18" i="3"/>
  <c r="J18" i="3"/>
  <c r="H19" i="3"/>
  <c r="I19" i="3"/>
  <c r="J19" i="3"/>
  <c r="H20" i="3"/>
  <c r="I20" i="3"/>
  <c r="J20" i="3"/>
  <c r="H21" i="3"/>
  <c r="I21" i="3"/>
  <c r="J21" i="3"/>
  <c r="H22" i="3"/>
  <c r="I22" i="3"/>
  <c r="J22" i="3"/>
  <c r="H23" i="3"/>
  <c r="I23" i="3"/>
  <c r="J23" i="3"/>
  <c r="H24" i="3"/>
  <c r="I24" i="3"/>
  <c r="J24" i="3"/>
  <c r="H25" i="3"/>
  <c r="I25" i="3"/>
  <c r="J25" i="3"/>
  <c r="H26" i="3"/>
  <c r="I26" i="3"/>
  <c r="J26" i="3"/>
  <c r="H27" i="3"/>
  <c r="I27" i="3"/>
  <c r="J27" i="3"/>
  <c r="H28" i="3"/>
  <c r="I28" i="3"/>
  <c r="J28" i="3"/>
  <c r="H29" i="3"/>
  <c r="I29" i="3"/>
  <c r="J29" i="3"/>
  <c r="H30" i="3"/>
  <c r="I30" i="3"/>
  <c r="J30" i="3"/>
  <c r="H31" i="3"/>
  <c r="I31" i="3"/>
  <c r="J31" i="3"/>
  <c r="H32" i="3"/>
  <c r="I32" i="3"/>
  <c r="J32" i="3"/>
  <c r="H33" i="3"/>
  <c r="I33" i="3"/>
  <c r="J33" i="3"/>
  <c r="H34" i="3"/>
  <c r="I34" i="3"/>
  <c r="J34" i="3"/>
  <c r="H35" i="3"/>
  <c r="I35" i="3"/>
  <c r="J35" i="3"/>
  <c r="H36" i="3"/>
  <c r="I36" i="3"/>
  <c r="J36" i="3"/>
  <c r="H37" i="3"/>
  <c r="I37" i="3"/>
  <c r="J37" i="3"/>
  <c r="H38" i="3"/>
  <c r="I38" i="3"/>
  <c r="J38" i="3"/>
  <c r="H39" i="3"/>
  <c r="I39" i="3"/>
  <c r="J39" i="3"/>
  <c r="H40" i="3"/>
  <c r="I40" i="3"/>
  <c r="J40" i="3"/>
  <c r="H41" i="3"/>
  <c r="I41" i="3"/>
  <c r="J41" i="3"/>
  <c r="H42" i="3"/>
  <c r="I42" i="3"/>
  <c r="J42" i="3"/>
  <c r="H43" i="3"/>
  <c r="I43" i="3"/>
  <c r="J43" i="3"/>
  <c r="H44" i="3"/>
  <c r="I44" i="3"/>
  <c r="J44" i="3"/>
  <c r="H45" i="3"/>
  <c r="I45" i="3"/>
  <c r="J45" i="3"/>
  <c r="H46" i="3"/>
  <c r="I46" i="3"/>
  <c r="J46" i="3"/>
  <c r="H47" i="3"/>
  <c r="I47" i="3"/>
  <c r="J47" i="3"/>
  <c r="H48" i="3"/>
  <c r="I48" i="3"/>
  <c r="J48" i="3"/>
  <c r="H49" i="3"/>
  <c r="I49" i="3"/>
  <c r="J49" i="3"/>
  <c r="H50" i="3"/>
  <c r="I50" i="3"/>
  <c r="J50" i="3"/>
  <c r="H51" i="3"/>
  <c r="I51" i="3"/>
  <c r="J51" i="3"/>
  <c r="H52" i="3"/>
  <c r="I52" i="3"/>
  <c r="J52" i="3"/>
  <c r="H53" i="3"/>
  <c r="I53" i="3"/>
  <c r="J53" i="3"/>
  <c r="J3" i="3"/>
  <c r="I3" i="3"/>
  <c r="H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3" i="3"/>
  <c r="R3" i="3" l="1"/>
  <c r="P3" i="3"/>
  <c r="O3" i="3"/>
  <c r="M3" i="3"/>
  <c r="Q3" i="3"/>
  <c r="K3" i="3"/>
  <c r="L3" i="3"/>
  <c r="N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6E348C-003A-4AF9-87AD-E4113FC20C82}" keepAlive="1" name="Query - Engagement Summary" description="Connection to the 'Engagement Summary' query in the workbook." type="5" refreshedVersion="8" background="1" saveData="1">
    <dbPr connection="Provider=Microsoft.Mashup.OleDb.1;Data Source=$Workbook$;Location=&quot;Engagement Summary&quot;;Extended Properties=&quot;&quot;" command="SELECT * FROM [Engagement Summary]"/>
  </connection>
  <connection id="2" xr16:uid="{176F76EC-A70C-43A1-BC2F-4457BA13FF2F}" keepAlive="1" name="Query - Engagement Summary (2)" description="Connection to the 'Engagement Summary (2)' query in the workbook." type="5" refreshedVersion="8" background="1" saveData="1">
    <dbPr connection="Provider=Microsoft.Mashup.OleDb.1;Data Source=$Workbook$;Location=&quot;Engagement Summary (2)&quot;;Extended Properties=&quot;&quot;" command="SELECT * FROM [Engagement Summary (2)]"/>
  </connection>
</connections>
</file>

<file path=xl/sharedStrings.xml><?xml version="1.0" encoding="utf-8"?>
<sst xmlns="http://schemas.openxmlformats.org/spreadsheetml/2006/main" count="462" uniqueCount="34">
  <si>
    <t>Week_Start_Date</t>
  </si>
  <si>
    <t>Platform</t>
  </si>
  <si>
    <t>New_Followers</t>
  </si>
  <si>
    <t>Unfollows</t>
  </si>
  <si>
    <t>Total_Followers</t>
  </si>
  <si>
    <t>Engagement_Rate</t>
  </si>
  <si>
    <t>Ad_Spend</t>
  </si>
  <si>
    <t>Instagram</t>
  </si>
  <si>
    <t>Facebook</t>
  </si>
  <si>
    <t>Twitter</t>
  </si>
  <si>
    <t>Youtube</t>
  </si>
  <si>
    <t>Row Labels</t>
  </si>
  <si>
    <t>Grand Total</t>
  </si>
  <si>
    <t>Column Labels</t>
  </si>
  <si>
    <t>Max of Total_Followers</t>
  </si>
  <si>
    <t>Face Book Growth</t>
  </si>
  <si>
    <t>Instagram growth</t>
  </si>
  <si>
    <t>Twitter growth</t>
  </si>
  <si>
    <t>Youtube Growth</t>
  </si>
  <si>
    <t>Identify Maximum Growth per Platform</t>
  </si>
  <si>
    <t>Face Book Peak Growth</t>
  </si>
  <si>
    <t>Instagram Peak Growth</t>
  </si>
  <si>
    <t>Twitter Peak Growth</t>
  </si>
  <si>
    <t>Youtube Peak Growth</t>
  </si>
  <si>
    <t>Face Book Peak Date</t>
  </si>
  <si>
    <t>Instagram Peak Date</t>
  </si>
  <si>
    <t>Twitter Peak Date</t>
  </si>
  <si>
    <t>Youtube Peak Date</t>
  </si>
  <si>
    <t>4 Week Moving Average</t>
  </si>
  <si>
    <t>Average of Facebook</t>
  </si>
  <si>
    <t>Average of Twitter</t>
  </si>
  <si>
    <t>Average of Youtube</t>
  </si>
  <si>
    <t>Average of Instagram</t>
  </si>
  <si>
    <t>Follower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</si>
</sst>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164" fontId="0" fillId="0" borderId="1" xfId="0" applyNumberFormat="1" applyBorder="1"/>
    <xf numFmtId="0" fontId="0" fillId="0" borderId="1" xfId="0" applyBorder="1"/>
    <xf numFmtId="0" fontId="0" fillId="2" borderId="0" xfId="0" applyFill="1"/>
    <xf numFmtId="164" fontId="0" fillId="4" borderId="1" xfId="0" applyNumberFormat="1" applyFill="1" applyBorder="1"/>
    <xf numFmtId="0" fontId="0" fillId="4" borderId="1" xfId="0" applyFill="1" applyBorder="1"/>
    <xf numFmtId="0" fontId="0" fillId="4" borderId="0" xfId="0" applyFill="1"/>
    <xf numFmtId="0" fontId="0" fillId="0" borderId="0" xfId="0" pivotButton="1"/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vertical="center"/>
    </xf>
    <xf numFmtId="164" fontId="1" fillId="3" borderId="1" xfId="0" applyNumberFormat="1" applyFont="1" applyFill="1" applyBorder="1"/>
    <xf numFmtId="0" fontId="1" fillId="3" borderId="1" xfId="0" applyFont="1" applyFill="1" applyBorder="1"/>
    <xf numFmtId="0" fontId="1" fillId="3" borderId="2" xfId="0" applyFont="1" applyFill="1" applyBorder="1"/>
    <xf numFmtId="164" fontId="2" fillId="4" borderId="1" xfId="0" applyNumberFormat="1" applyFont="1" applyFill="1" applyBorder="1"/>
    <xf numFmtId="0" fontId="2" fillId="4" borderId="1" xfId="0" applyFont="1" applyFill="1" applyBorder="1"/>
    <xf numFmtId="0" fontId="2" fillId="0" borderId="1" xfId="0" applyFont="1" applyBorder="1"/>
    <xf numFmtId="164" fontId="0" fillId="4" borderId="1" xfId="0" applyNumberForma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0" fontId="2" fillId="0" borderId="3" xfId="0" applyFont="1" applyBorder="1"/>
    <xf numFmtId="0" fontId="0" fillId="0" borderId="4" xfId="0" applyBorder="1"/>
    <xf numFmtId="0" fontId="0" fillId="0" borderId="3" xfId="0" applyBorder="1"/>
    <xf numFmtId="0" fontId="2" fillId="0" borderId="0" xfId="0" applyFont="1"/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 applyAlignment="1">
      <alignment horizontal="left"/>
    </xf>
    <xf numFmtId="0" fontId="0" fillId="5" borderId="1" xfId="0" applyFill="1" applyBorder="1"/>
    <xf numFmtId="0" fontId="0" fillId="5" borderId="0" xfId="0" applyFill="1"/>
    <xf numFmtId="164" fontId="0" fillId="5" borderId="1" xfId="0" applyNumberFormat="1" applyFill="1" applyBorder="1"/>
    <xf numFmtId="164" fontId="0" fillId="5" borderId="6" xfId="0" applyNumberFormat="1" applyFill="1" applyBorder="1"/>
    <xf numFmtId="0" fontId="0" fillId="5" borderId="4" xfId="0" applyFill="1" applyBorder="1"/>
    <xf numFmtId="0" fontId="0" fillId="0" borderId="7" xfId="0" applyBorder="1"/>
    <xf numFmtId="164" fontId="0" fillId="5" borderId="8" xfId="0" applyNumberFormat="1" applyFill="1" applyBorder="1"/>
    <xf numFmtId="0" fontId="0" fillId="4" borderId="9" xfId="0" applyFill="1" applyBorder="1"/>
    <xf numFmtId="164" fontId="0" fillId="5" borderId="10" xfId="0" applyNumberFormat="1" applyFill="1" applyBorder="1"/>
    <xf numFmtId="0" fontId="0" fillId="5" borderId="2" xfId="0" applyFill="1" applyBorder="1"/>
    <xf numFmtId="0" fontId="0" fillId="4" borderId="11" xfId="0" applyFill="1" applyBorder="1"/>
    <xf numFmtId="0" fontId="0" fillId="0" borderId="5" xfId="0" applyBorder="1" applyAlignment="1">
      <alignment horizontal="right"/>
    </xf>
    <xf numFmtId="0" fontId="0" fillId="0" borderId="0" xfId="0" applyAlignment="1">
      <alignment horizontal="right"/>
    </xf>
    <xf numFmtId="164" fontId="0" fillId="6" borderId="1" xfId="0" applyNumberFormat="1" applyFill="1" applyBorder="1" applyAlignment="1">
      <alignment horizontal="center"/>
    </xf>
    <xf numFmtId="0" fontId="0" fillId="6" borderId="1" xfId="0" applyFill="1" applyBorder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19"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rgb="FFFFC0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rgb="FFFFC0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>
          <fgColor indexed="64"/>
          <bgColor rgb="FFFFC0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[$-F800]dddd\,\ mmmm\ dd\,\ yyyy"/>
      <fill>
        <patternFill>
          <fgColor indexed="64"/>
          <bgColor rgb="FFFFC00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numFmt numFmtId="0" formatCode="General"/>
      <fill>
        <patternFill>
          <fgColor indexed="64"/>
          <bgColor rgb="FFFFC000"/>
        </patternFill>
      </fill>
    </dxf>
    <dxf>
      <numFmt numFmtId="164" formatCode="[$-F800]dddd\,\ mmmm\ dd\,\ yyyy"/>
      <fill>
        <patternFill>
          <fgColor indexed="64"/>
          <bgColor rgb="FFFFC000"/>
        </patternFill>
      </fill>
    </dxf>
    <dxf>
      <fill>
        <patternFill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[Tesla Task 6 project.xlsx]Moving average calculation!PivotTable7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Growth Trends Using</a:t>
            </a:r>
            <a:r>
              <a:rPr lang="en-IN" baseline="0"/>
              <a:t> Moving Average</a:t>
            </a:r>
            <a:r>
              <a:rPr lang="en-IN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'Moving average calculation'!$O$8</c:f>
              <c:strCache>
                <c:ptCount val="1"/>
                <c:pt idx="0">
                  <c:v>Average of Facebook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'Moving average calculation'!$N$9:$N$60</c:f>
              <c:strCache>
                <c:ptCount val="51"/>
                <c:pt idx="0">
                  <c:v>Grand Total</c:v>
                </c:pt>
                <c:pt idx="1">
                  <c:v>03-06-2024</c:v>
                </c:pt>
                <c:pt idx="2">
                  <c:v>10-06-2024</c:v>
                </c:pt>
                <c:pt idx="3">
                  <c:v>17-06-2024</c:v>
                </c:pt>
                <c:pt idx="4">
                  <c:v>24-06-2024</c:v>
                </c:pt>
                <c:pt idx="5">
                  <c:v>01-07-2024</c:v>
                </c:pt>
                <c:pt idx="6">
                  <c:v>08-07-2024</c:v>
                </c:pt>
                <c:pt idx="7">
                  <c:v>15-07-2024</c:v>
                </c:pt>
                <c:pt idx="8">
                  <c:v>22-07-2024</c:v>
                </c:pt>
                <c:pt idx="9">
                  <c:v>29-07-2024</c:v>
                </c:pt>
                <c:pt idx="10">
                  <c:v>05-08-2024</c:v>
                </c:pt>
                <c:pt idx="11">
                  <c:v>12-08-2024</c:v>
                </c:pt>
                <c:pt idx="12">
                  <c:v>19-08-2024</c:v>
                </c:pt>
                <c:pt idx="13">
                  <c:v>26-08-2024</c:v>
                </c:pt>
                <c:pt idx="14">
                  <c:v>02-09-2024</c:v>
                </c:pt>
                <c:pt idx="15">
                  <c:v>09-09-2024</c:v>
                </c:pt>
                <c:pt idx="16">
                  <c:v>16-09-2024</c:v>
                </c:pt>
                <c:pt idx="17">
                  <c:v>23-09-2024</c:v>
                </c:pt>
                <c:pt idx="18">
                  <c:v>30-09-2024</c:v>
                </c:pt>
                <c:pt idx="19">
                  <c:v>07-10-2024</c:v>
                </c:pt>
                <c:pt idx="20">
                  <c:v>14-10-2024</c:v>
                </c:pt>
                <c:pt idx="21">
                  <c:v>21-10-2024</c:v>
                </c:pt>
                <c:pt idx="22">
                  <c:v>28-10-2024</c:v>
                </c:pt>
                <c:pt idx="23">
                  <c:v>04-11-2024</c:v>
                </c:pt>
                <c:pt idx="24">
                  <c:v>11-11-2024</c:v>
                </c:pt>
                <c:pt idx="25">
                  <c:v>18-11-2024</c:v>
                </c:pt>
                <c:pt idx="26">
                  <c:v>25-11-2024</c:v>
                </c:pt>
                <c:pt idx="27">
                  <c:v>02-12-2024</c:v>
                </c:pt>
                <c:pt idx="28">
                  <c:v>09-12-2024</c:v>
                </c:pt>
                <c:pt idx="29">
                  <c:v>16-12-2024</c:v>
                </c:pt>
                <c:pt idx="30">
                  <c:v>23-12-2024</c:v>
                </c:pt>
                <c:pt idx="31">
                  <c:v>30-12-2024</c:v>
                </c:pt>
                <c:pt idx="32">
                  <c:v>06-01-2025</c:v>
                </c:pt>
                <c:pt idx="33">
                  <c:v>13-01-2025</c:v>
                </c:pt>
                <c:pt idx="34">
                  <c:v>20-01-2025</c:v>
                </c:pt>
                <c:pt idx="35">
                  <c:v>27-01-2025</c:v>
                </c:pt>
                <c:pt idx="36">
                  <c:v>03-02-2025</c:v>
                </c:pt>
                <c:pt idx="37">
                  <c:v>10-02-2025</c:v>
                </c:pt>
                <c:pt idx="38">
                  <c:v>17-02-2025</c:v>
                </c:pt>
                <c:pt idx="39">
                  <c:v>24-02-2025</c:v>
                </c:pt>
                <c:pt idx="40">
                  <c:v>03-03-2025</c:v>
                </c:pt>
                <c:pt idx="41">
                  <c:v>10-03-2025</c:v>
                </c:pt>
                <c:pt idx="42">
                  <c:v>17-03-2025</c:v>
                </c:pt>
                <c:pt idx="43">
                  <c:v>24-03-2025</c:v>
                </c:pt>
                <c:pt idx="44">
                  <c:v>31-03-2025</c:v>
                </c:pt>
                <c:pt idx="45">
                  <c:v>07-04-2025</c:v>
                </c:pt>
                <c:pt idx="46">
                  <c:v>14-04-2025</c:v>
                </c:pt>
                <c:pt idx="47">
                  <c:v>21-04-2025</c:v>
                </c:pt>
                <c:pt idx="48">
                  <c:v>28-04-2025</c:v>
                </c:pt>
                <c:pt idx="49">
                  <c:v>05-05-2025</c:v>
                </c:pt>
                <c:pt idx="50">
                  <c:v>12-05-2025</c:v>
                </c:pt>
              </c:strCache>
            </c:strRef>
          </c:cat>
          <c:val>
            <c:numRef>
              <c:f>'Moving average calculation'!$O$9:$O$60</c:f>
              <c:numCache>
                <c:formatCode>General</c:formatCode>
                <c:ptCount val="51"/>
                <c:pt idx="0">
                  <c:v>376542</c:v>
                </c:pt>
                <c:pt idx="5">
                  <c:v>155004</c:v>
                </c:pt>
                <c:pt idx="6">
                  <c:v>196812</c:v>
                </c:pt>
                <c:pt idx="7">
                  <c:v>200426.2</c:v>
                </c:pt>
                <c:pt idx="8">
                  <c:v>225533.4</c:v>
                </c:pt>
                <c:pt idx="9">
                  <c:v>307281.2</c:v>
                </c:pt>
                <c:pt idx="10">
                  <c:v>288284</c:v>
                </c:pt>
                <c:pt idx="11">
                  <c:v>299467.59999999998</c:v>
                </c:pt>
                <c:pt idx="12">
                  <c:v>269327.2</c:v>
                </c:pt>
                <c:pt idx="13">
                  <c:v>286196.8</c:v>
                </c:pt>
                <c:pt idx="14">
                  <c:v>298586.40000000002</c:v>
                </c:pt>
                <c:pt idx="15">
                  <c:v>335084.40000000002</c:v>
                </c:pt>
                <c:pt idx="16">
                  <c:v>368394.4</c:v>
                </c:pt>
                <c:pt idx="17">
                  <c:v>379560.2</c:v>
                </c:pt>
                <c:pt idx="18">
                  <c:v>394368.8</c:v>
                </c:pt>
                <c:pt idx="19">
                  <c:v>370845</c:v>
                </c:pt>
                <c:pt idx="20">
                  <c:v>340860</c:v>
                </c:pt>
                <c:pt idx="21">
                  <c:v>250726</c:v>
                </c:pt>
                <c:pt idx="22">
                  <c:v>244772.8</c:v>
                </c:pt>
                <c:pt idx="23">
                  <c:v>217925.4</c:v>
                </c:pt>
                <c:pt idx="24">
                  <c:v>203949.4</c:v>
                </c:pt>
                <c:pt idx="25">
                  <c:v>240199</c:v>
                </c:pt>
                <c:pt idx="26">
                  <c:v>302832.8</c:v>
                </c:pt>
                <c:pt idx="27">
                  <c:v>354889.2</c:v>
                </c:pt>
                <c:pt idx="28">
                  <c:v>298220.40000000002</c:v>
                </c:pt>
                <c:pt idx="29">
                  <c:v>319486.8</c:v>
                </c:pt>
                <c:pt idx="30">
                  <c:v>270386.8</c:v>
                </c:pt>
                <c:pt idx="31">
                  <c:v>278940.79999999999</c:v>
                </c:pt>
                <c:pt idx="32">
                  <c:v>204032.6</c:v>
                </c:pt>
                <c:pt idx="33">
                  <c:v>241804</c:v>
                </c:pt>
                <c:pt idx="34">
                  <c:v>254539</c:v>
                </c:pt>
                <c:pt idx="35">
                  <c:v>300131</c:v>
                </c:pt>
                <c:pt idx="36">
                  <c:v>251442.2</c:v>
                </c:pt>
                <c:pt idx="37">
                  <c:v>294279.40000000002</c:v>
                </c:pt>
                <c:pt idx="38">
                  <c:v>270333</c:v>
                </c:pt>
                <c:pt idx="39">
                  <c:v>220524.6</c:v>
                </c:pt>
                <c:pt idx="40">
                  <c:v>229639.4</c:v>
                </c:pt>
                <c:pt idx="41">
                  <c:v>270610.40000000002</c:v>
                </c:pt>
                <c:pt idx="42">
                  <c:v>277053.40000000002</c:v>
                </c:pt>
                <c:pt idx="43">
                  <c:v>330781.2</c:v>
                </c:pt>
                <c:pt idx="44">
                  <c:v>358705.6</c:v>
                </c:pt>
                <c:pt idx="45">
                  <c:v>305048.59999999998</c:v>
                </c:pt>
                <c:pt idx="46">
                  <c:v>251021.6</c:v>
                </c:pt>
                <c:pt idx="47">
                  <c:v>258072.2</c:v>
                </c:pt>
                <c:pt idx="48">
                  <c:v>228317</c:v>
                </c:pt>
                <c:pt idx="49">
                  <c:v>238042.2</c:v>
                </c:pt>
                <c:pt idx="50">
                  <c:v>291287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43-4B70-8854-EF415D3F529A}"/>
            </c:ext>
          </c:extLst>
        </c:ser>
        <c:ser>
          <c:idx val="1"/>
          <c:order val="1"/>
          <c:tx>
            <c:strRef>
              <c:f>'Moving average calculation'!$P$8</c:f>
              <c:strCache>
                <c:ptCount val="1"/>
                <c:pt idx="0">
                  <c:v>Average of Twitter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'Moving average calculation'!$N$9:$N$60</c:f>
              <c:strCache>
                <c:ptCount val="51"/>
                <c:pt idx="0">
                  <c:v>Grand Total</c:v>
                </c:pt>
                <c:pt idx="1">
                  <c:v>03-06-2024</c:v>
                </c:pt>
                <c:pt idx="2">
                  <c:v>10-06-2024</c:v>
                </c:pt>
                <c:pt idx="3">
                  <c:v>17-06-2024</c:v>
                </c:pt>
                <c:pt idx="4">
                  <c:v>24-06-2024</c:v>
                </c:pt>
                <c:pt idx="5">
                  <c:v>01-07-2024</c:v>
                </c:pt>
                <c:pt idx="6">
                  <c:v>08-07-2024</c:v>
                </c:pt>
                <c:pt idx="7">
                  <c:v>15-07-2024</c:v>
                </c:pt>
                <c:pt idx="8">
                  <c:v>22-07-2024</c:v>
                </c:pt>
                <c:pt idx="9">
                  <c:v>29-07-2024</c:v>
                </c:pt>
                <c:pt idx="10">
                  <c:v>05-08-2024</c:v>
                </c:pt>
                <c:pt idx="11">
                  <c:v>12-08-2024</c:v>
                </c:pt>
                <c:pt idx="12">
                  <c:v>19-08-2024</c:v>
                </c:pt>
                <c:pt idx="13">
                  <c:v>26-08-2024</c:v>
                </c:pt>
                <c:pt idx="14">
                  <c:v>02-09-2024</c:v>
                </c:pt>
                <c:pt idx="15">
                  <c:v>09-09-2024</c:v>
                </c:pt>
                <c:pt idx="16">
                  <c:v>16-09-2024</c:v>
                </c:pt>
                <c:pt idx="17">
                  <c:v>23-09-2024</c:v>
                </c:pt>
                <c:pt idx="18">
                  <c:v>30-09-2024</c:v>
                </c:pt>
                <c:pt idx="19">
                  <c:v>07-10-2024</c:v>
                </c:pt>
                <c:pt idx="20">
                  <c:v>14-10-2024</c:v>
                </c:pt>
                <c:pt idx="21">
                  <c:v>21-10-2024</c:v>
                </c:pt>
                <c:pt idx="22">
                  <c:v>28-10-2024</c:v>
                </c:pt>
                <c:pt idx="23">
                  <c:v>04-11-2024</c:v>
                </c:pt>
                <c:pt idx="24">
                  <c:v>11-11-2024</c:v>
                </c:pt>
                <c:pt idx="25">
                  <c:v>18-11-2024</c:v>
                </c:pt>
                <c:pt idx="26">
                  <c:v>25-11-2024</c:v>
                </c:pt>
                <c:pt idx="27">
                  <c:v>02-12-2024</c:v>
                </c:pt>
                <c:pt idx="28">
                  <c:v>09-12-2024</c:v>
                </c:pt>
                <c:pt idx="29">
                  <c:v>16-12-2024</c:v>
                </c:pt>
                <c:pt idx="30">
                  <c:v>23-12-2024</c:v>
                </c:pt>
                <c:pt idx="31">
                  <c:v>30-12-2024</c:v>
                </c:pt>
                <c:pt idx="32">
                  <c:v>06-01-2025</c:v>
                </c:pt>
                <c:pt idx="33">
                  <c:v>13-01-2025</c:v>
                </c:pt>
                <c:pt idx="34">
                  <c:v>20-01-2025</c:v>
                </c:pt>
                <c:pt idx="35">
                  <c:v>27-01-2025</c:v>
                </c:pt>
                <c:pt idx="36">
                  <c:v>03-02-2025</c:v>
                </c:pt>
                <c:pt idx="37">
                  <c:v>10-02-2025</c:v>
                </c:pt>
                <c:pt idx="38">
                  <c:v>17-02-2025</c:v>
                </c:pt>
                <c:pt idx="39">
                  <c:v>24-02-2025</c:v>
                </c:pt>
                <c:pt idx="40">
                  <c:v>03-03-2025</c:v>
                </c:pt>
                <c:pt idx="41">
                  <c:v>10-03-2025</c:v>
                </c:pt>
                <c:pt idx="42">
                  <c:v>17-03-2025</c:v>
                </c:pt>
                <c:pt idx="43">
                  <c:v>24-03-2025</c:v>
                </c:pt>
                <c:pt idx="44">
                  <c:v>31-03-2025</c:v>
                </c:pt>
                <c:pt idx="45">
                  <c:v>07-04-2025</c:v>
                </c:pt>
                <c:pt idx="46">
                  <c:v>14-04-2025</c:v>
                </c:pt>
                <c:pt idx="47">
                  <c:v>21-04-2025</c:v>
                </c:pt>
                <c:pt idx="48">
                  <c:v>28-04-2025</c:v>
                </c:pt>
                <c:pt idx="49">
                  <c:v>05-05-2025</c:v>
                </c:pt>
                <c:pt idx="50">
                  <c:v>12-05-2025</c:v>
                </c:pt>
              </c:strCache>
            </c:strRef>
          </c:cat>
          <c:val>
            <c:numRef>
              <c:f>'Moving average calculation'!$P$9:$P$60</c:f>
              <c:numCache>
                <c:formatCode>General</c:formatCode>
                <c:ptCount val="51"/>
                <c:pt idx="0">
                  <c:v>449939.6</c:v>
                </c:pt>
                <c:pt idx="5">
                  <c:v>227527.8</c:v>
                </c:pt>
                <c:pt idx="6">
                  <c:v>276123</c:v>
                </c:pt>
                <c:pt idx="7">
                  <c:v>270454</c:v>
                </c:pt>
                <c:pt idx="8">
                  <c:v>285563.2</c:v>
                </c:pt>
                <c:pt idx="9">
                  <c:v>283393.8</c:v>
                </c:pt>
                <c:pt idx="10">
                  <c:v>310331.59999999998</c:v>
                </c:pt>
                <c:pt idx="11">
                  <c:v>319346.2</c:v>
                </c:pt>
                <c:pt idx="12">
                  <c:v>311876.8</c:v>
                </c:pt>
                <c:pt idx="13">
                  <c:v>309512</c:v>
                </c:pt>
                <c:pt idx="14">
                  <c:v>315753</c:v>
                </c:pt>
                <c:pt idx="15">
                  <c:v>312563.59999999998</c:v>
                </c:pt>
                <c:pt idx="16">
                  <c:v>304058</c:v>
                </c:pt>
                <c:pt idx="17">
                  <c:v>320030.2</c:v>
                </c:pt>
                <c:pt idx="18">
                  <c:v>295720.59999999998</c:v>
                </c:pt>
                <c:pt idx="19">
                  <c:v>327262</c:v>
                </c:pt>
                <c:pt idx="20">
                  <c:v>302407</c:v>
                </c:pt>
                <c:pt idx="21">
                  <c:v>275593.40000000002</c:v>
                </c:pt>
                <c:pt idx="22">
                  <c:v>270000.2</c:v>
                </c:pt>
                <c:pt idx="23">
                  <c:v>344835</c:v>
                </c:pt>
                <c:pt idx="24">
                  <c:v>266998.8</c:v>
                </c:pt>
                <c:pt idx="25">
                  <c:v>302549</c:v>
                </c:pt>
                <c:pt idx="26">
                  <c:v>268582.59999999998</c:v>
                </c:pt>
                <c:pt idx="27">
                  <c:v>282453.40000000002</c:v>
                </c:pt>
                <c:pt idx="28">
                  <c:v>198758.8</c:v>
                </c:pt>
                <c:pt idx="29">
                  <c:v>246734.4</c:v>
                </c:pt>
                <c:pt idx="30">
                  <c:v>165453.6</c:v>
                </c:pt>
                <c:pt idx="31">
                  <c:v>202728.8</c:v>
                </c:pt>
                <c:pt idx="32">
                  <c:v>214979.20000000001</c:v>
                </c:pt>
                <c:pt idx="33">
                  <c:v>308437</c:v>
                </c:pt>
                <c:pt idx="34">
                  <c:v>267881.2</c:v>
                </c:pt>
                <c:pt idx="35">
                  <c:v>304171.2</c:v>
                </c:pt>
                <c:pt idx="36">
                  <c:v>284715.8</c:v>
                </c:pt>
                <c:pt idx="37">
                  <c:v>235801</c:v>
                </c:pt>
                <c:pt idx="38">
                  <c:v>167343.4</c:v>
                </c:pt>
                <c:pt idx="39">
                  <c:v>205864</c:v>
                </c:pt>
                <c:pt idx="40">
                  <c:v>246665.2</c:v>
                </c:pt>
                <c:pt idx="41">
                  <c:v>213648.6</c:v>
                </c:pt>
                <c:pt idx="42">
                  <c:v>190821.6</c:v>
                </c:pt>
                <c:pt idx="43">
                  <c:v>203918</c:v>
                </c:pt>
                <c:pt idx="44">
                  <c:v>180186.6</c:v>
                </c:pt>
                <c:pt idx="45">
                  <c:v>92789.4</c:v>
                </c:pt>
                <c:pt idx="46">
                  <c:v>118796.6</c:v>
                </c:pt>
                <c:pt idx="47">
                  <c:v>183077.4</c:v>
                </c:pt>
                <c:pt idx="48">
                  <c:v>238317.2</c:v>
                </c:pt>
                <c:pt idx="49">
                  <c:v>295520</c:v>
                </c:pt>
                <c:pt idx="50">
                  <c:v>380861.8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43-4B70-8854-EF415D3F529A}"/>
            </c:ext>
          </c:extLst>
        </c:ser>
        <c:ser>
          <c:idx val="2"/>
          <c:order val="2"/>
          <c:tx>
            <c:strRef>
              <c:f>'Moving average calculation'!$Q$8</c:f>
              <c:strCache>
                <c:ptCount val="1"/>
                <c:pt idx="0">
                  <c:v>Average of Youtube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'Moving average calculation'!$N$9:$N$60</c:f>
              <c:strCache>
                <c:ptCount val="51"/>
                <c:pt idx="0">
                  <c:v>Grand Total</c:v>
                </c:pt>
                <c:pt idx="1">
                  <c:v>03-06-2024</c:v>
                </c:pt>
                <c:pt idx="2">
                  <c:v>10-06-2024</c:v>
                </c:pt>
                <c:pt idx="3">
                  <c:v>17-06-2024</c:v>
                </c:pt>
                <c:pt idx="4">
                  <c:v>24-06-2024</c:v>
                </c:pt>
                <c:pt idx="5">
                  <c:v>01-07-2024</c:v>
                </c:pt>
                <c:pt idx="6">
                  <c:v>08-07-2024</c:v>
                </c:pt>
                <c:pt idx="7">
                  <c:v>15-07-2024</c:v>
                </c:pt>
                <c:pt idx="8">
                  <c:v>22-07-2024</c:v>
                </c:pt>
                <c:pt idx="9">
                  <c:v>29-07-2024</c:v>
                </c:pt>
                <c:pt idx="10">
                  <c:v>05-08-2024</c:v>
                </c:pt>
                <c:pt idx="11">
                  <c:v>12-08-2024</c:v>
                </c:pt>
                <c:pt idx="12">
                  <c:v>19-08-2024</c:v>
                </c:pt>
                <c:pt idx="13">
                  <c:v>26-08-2024</c:v>
                </c:pt>
                <c:pt idx="14">
                  <c:v>02-09-2024</c:v>
                </c:pt>
                <c:pt idx="15">
                  <c:v>09-09-2024</c:v>
                </c:pt>
                <c:pt idx="16">
                  <c:v>16-09-2024</c:v>
                </c:pt>
                <c:pt idx="17">
                  <c:v>23-09-2024</c:v>
                </c:pt>
                <c:pt idx="18">
                  <c:v>30-09-2024</c:v>
                </c:pt>
                <c:pt idx="19">
                  <c:v>07-10-2024</c:v>
                </c:pt>
                <c:pt idx="20">
                  <c:v>14-10-2024</c:v>
                </c:pt>
                <c:pt idx="21">
                  <c:v>21-10-2024</c:v>
                </c:pt>
                <c:pt idx="22">
                  <c:v>28-10-2024</c:v>
                </c:pt>
                <c:pt idx="23">
                  <c:v>04-11-2024</c:v>
                </c:pt>
                <c:pt idx="24">
                  <c:v>11-11-2024</c:v>
                </c:pt>
                <c:pt idx="25">
                  <c:v>18-11-2024</c:v>
                </c:pt>
                <c:pt idx="26">
                  <c:v>25-11-2024</c:v>
                </c:pt>
                <c:pt idx="27">
                  <c:v>02-12-2024</c:v>
                </c:pt>
                <c:pt idx="28">
                  <c:v>09-12-2024</c:v>
                </c:pt>
                <c:pt idx="29">
                  <c:v>16-12-2024</c:v>
                </c:pt>
                <c:pt idx="30">
                  <c:v>23-12-2024</c:v>
                </c:pt>
                <c:pt idx="31">
                  <c:v>30-12-2024</c:v>
                </c:pt>
                <c:pt idx="32">
                  <c:v>06-01-2025</c:v>
                </c:pt>
                <c:pt idx="33">
                  <c:v>13-01-2025</c:v>
                </c:pt>
                <c:pt idx="34">
                  <c:v>20-01-2025</c:v>
                </c:pt>
                <c:pt idx="35">
                  <c:v>27-01-2025</c:v>
                </c:pt>
                <c:pt idx="36">
                  <c:v>03-02-2025</c:v>
                </c:pt>
                <c:pt idx="37">
                  <c:v>10-02-2025</c:v>
                </c:pt>
                <c:pt idx="38">
                  <c:v>17-02-2025</c:v>
                </c:pt>
                <c:pt idx="39">
                  <c:v>24-02-2025</c:v>
                </c:pt>
                <c:pt idx="40">
                  <c:v>03-03-2025</c:v>
                </c:pt>
                <c:pt idx="41">
                  <c:v>10-03-2025</c:v>
                </c:pt>
                <c:pt idx="42">
                  <c:v>17-03-2025</c:v>
                </c:pt>
                <c:pt idx="43">
                  <c:v>24-03-2025</c:v>
                </c:pt>
                <c:pt idx="44">
                  <c:v>31-03-2025</c:v>
                </c:pt>
                <c:pt idx="45">
                  <c:v>07-04-2025</c:v>
                </c:pt>
                <c:pt idx="46">
                  <c:v>14-04-2025</c:v>
                </c:pt>
                <c:pt idx="47">
                  <c:v>21-04-2025</c:v>
                </c:pt>
                <c:pt idx="48">
                  <c:v>28-04-2025</c:v>
                </c:pt>
                <c:pt idx="49">
                  <c:v>05-05-2025</c:v>
                </c:pt>
                <c:pt idx="50">
                  <c:v>12-05-2025</c:v>
                </c:pt>
              </c:strCache>
            </c:strRef>
          </c:cat>
          <c:val>
            <c:numRef>
              <c:f>'Moving average calculation'!$Q$9:$Q$60</c:f>
              <c:numCache>
                <c:formatCode>General</c:formatCode>
                <c:ptCount val="51"/>
                <c:pt idx="0">
                  <c:v>200465.8</c:v>
                </c:pt>
                <c:pt idx="5">
                  <c:v>346425.4</c:v>
                </c:pt>
                <c:pt idx="6">
                  <c:v>314057</c:v>
                </c:pt>
                <c:pt idx="7">
                  <c:v>262618</c:v>
                </c:pt>
                <c:pt idx="8">
                  <c:v>247360.6</c:v>
                </c:pt>
                <c:pt idx="9">
                  <c:v>174623.6</c:v>
                </c:pt>
                <c:pt idx="10">
                  <c:v>216018</c:v>
                </c:pt>
                <c:pt idx="11">
                  <c:v>189687.6</c:v>
                </c:pt>
                <c:pt idx="12">
                  <c:v>175839.6</c:v>
                </c:pt>
                <c:pt idx="13">
                  <c:v>162335.6</c:v>
                </c:pt>
                <c:pt idx="14">
                  <c:v>224030</c:v>
                </c:pt>
                <c:pt idx="15">
                  <c:v>172816.6</c:v>
                </c:pt>
                <c:pt idx="16">
                  <c:v>176395</c:v>
                </c:pt>
                <c:pt idx="17">
                  <c:v>171541.8</c:v>
                </c:pt>
                <c:pt idx="18">
                  <c:v>142605</c:v>
                </c:pt>
                <c:pt idx="19">
                  <c:v>91964.2</c:v>
                </c:pt>
                <c:pt idx="20">
                  <c:v>118883.2</c:v>
                </c:pt>
                <c:pt idx="21">
                  <c:v>146278.39999999999</c:v>
                </c:pt>
                <c:pt idx="22">
                  <c:v>194808.4</c:v>
                </c:pt>
                <c:pt idx="23">
                  <c:v>227725.2</c:v>
                </c:pt>
                <c:pt idx="24">
                  <c:v>228390</c:v>
                </c:pt>
                <c:pt idx="25">
                  <c:v>248893.4</c:v>
                </c:pt>
                <c:pt idx="26">
                  <c:v>210018.4</c:v>
                </c:pt>
                <c:pt idx="27">
                  <c:v>193107.8</c:v>
                </c:pt>
                <c:pt idx="28">
                  <c:v>231697.8</c:v>
                </c:pt>
                <c:pt idx="29">
                  <c:v>305259.8</c:v>
                </c:pt>
                <c:pt idx="30">
                  <c:v>249956.2</c:v>
                </c:pt>
                <c:pt idx="31">
                  <c:v>264818.2</c:v>
                </c:pt>
                <c:pt idx="32">
                  <c:v>239645.4</c:v>
                </c:pt>
                <c:pt idx="33">
                  <c:v>152154</c:v>
                </c:pt>
                <c:pt idx="34">
                  <c:v>121763.6</c:v>
                </c:pt>
                <c:pt idx="35">
                  <c:v>209062</c:v>
                </c:pt>
                <c:pt idx="36">
                  <c:v>235846.2</c:v>
                </c:pt>
                <c:pt idx="37">
                  <c:v>313820.2</c:v>
                </c:pt>
                <c:pt idx="38">
                  <c:v>332128.8</c:v>
                </c:pt>
                <c:pt idx="39">
                  <c:v>357586.8</c:v>
                </c:pt>
                <c:pt idx="40">
                  <c:v>310159.8</c:v>
                </c:pt>
                <c:pt idx="41">
                  <c:v>275686</c:v>
                </c:pt>
                <c:pt idx="42">
                  <c:v>182106</c:v>
                </c:pt>
                <c:pt idx="43">
                  <c:v>249296.2</c:v>
                </c:pt>
                <c:pt idx="44">
                  <c:v>243593.60000000001</c:v>
                </c:pt>
                <c:pt idx="45">
                  <c:v>256757.6</c:v>
                </c:pt>
                <c:pt idx="46">
                  <c:v>310983.2</c:v>
                </c:pt>
                <c:pt idx="47">
                  <c:v>361698.8</c:v>
                </c:pt>
                <c:pt idx="48">
                  <c:v>275599.59999999998</c:v>
                </c:pt>
                <c:pt idx="49">
                  <c:v>218149.8</c:v>
                </c:pt>
                <c:pt idx="50">
                  <c:v>176590.6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43-4B70-8854-EF415D3F529A}"/>
            </c:ext>
          </c:extLst>
        </c:ser>
        <c:ser>
          <c:idx val="3"/>
          <c:order val="3"/>
          <c:tx>
            <c:strRef>
              <c:f>'Moving average calculation'!$R$8</c:f>
              <c:strCache>
                <c:ptCount val="1"/>
                <c:pt idx="0">
                  <c:v>Average of Instagram</c:v>
                </c:pt>
              </c:strCache>
            </c:strRef>
          </c:tx>
          <c:spPr>
            <a:noFill/>
            <a:ln w="9525" cap="flat" cmpd="sng" algn="ctr">
              <a:solidFill>
                <a:schemeClr val="accent4"/>
              </a:solidFill>
              <a:miter lim="800000"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'Moving average calculation'!$N$9:$N$60</c:f>
              <c:strCache>
                <c:ptCount val="51"/>
                <c:pt idx="0">
                  <c:v>Grand Total</c:v>
                </c:pt>
                <c:pt idx="1">
                  <c:v>03-06-2024</c:v>
                </c:pt>
                <c:pt idx="2">
                  <c:v>10-06-2024</c:v>
                </c:pt>
                <c:pt idx="3">
                  <c:v>17-06-2024</c:v>
                </c:pt>
                <c:pt idx="4">
                  <c:v>24-06-2024</c:v>
                </c:pt>
                <c:pt idx="5">
                  <c:v>01-07-2024</c:v>
                </c:pt>
                <c:pt idx="6">
                  <c:v>08-07-2024</c:v>
                </c:pt>
                <c:pt idx="7">
                  <c:v>15-07-2024</c:v>
                </c:pt>
                <c:pt idx="8">
                  <c:v>22-07-2024</c:v>
                </c:pt>
                <c:pt idx="9">
                  <c:v>29-07-2024</c:v>
                </c:pt>
                <c:pt idx="10">
                  <c:v>05-08-2024</c:v>
                </c:pt>
                <c:pt idx="11">
                  <c:v>12-08-2024</c:v>
                </c:pt>
                <c:pt idx="12">
                  <c:v>19-08-2024</c:v>
                </c:pt>
                <c:pt idx="13">
                  <c:v>26-08-2024</c:v>
                </c:pt>
                <c:pt idx="14">
                  <c:v>02-09-2024</c:v>
                </c:pt>
                <c:pt idx="15">
                  <c:v>09-09-2024</c:v>
                </c:pt>
                <c:pt idx="16">
                  <c:v>16-09-2024</c:v>
                </c:pt>
                <c:pt idx="17">
                  <c:v>23-09-2024</c:v>
                </c:pt>
                <c:pt idx="18">
                  <c:v>30-09-2024</c:v>
                </c:pt>
                <c:pt idx="19">
                  <c:v>07-10-2024</c:v>
                </c:pt>
                <c:pt idx="20">
                  <c:v>14-10-2024</c:v>
                </c:pt>
                <c:pt idx="21">
                  <c:v>21-10-2024</c:v>
                </c:pt>
                <c:pt idx="22">
                  <c:v>28-10-2024</c:v>
                </c:pt>
                <c:pt idx="23">
                  <c:v>04-11-2024</c:v>
                </c:pt>
                <c:pt idx="24">
                  <c:v>11-11-2024</c:v>
                </c:pt>
                <c:pt idx="25">
                  <c:v>18-11-2024</c:v>
                </c:pt>
                <c:pt idx="26">
                  <c:v>25-11-2024</c:v>
                </c:pt>
                <c:pt idx="27">
                  <c:v>02-12-2024</c:v>
                </c:pt>
                <c:pt idx="28">
                  <c:v>09-12-2024</c:v>
                </c:pt>
                <c:pt idx="29">
                  <c:v>16-12-2024</c:v>
                </c:pt>
                <c:pt idx="30">
                  <c:v>23-12-2024</c:v>
                </c:pt>
                <c:pt idx="31">
                  <c:v>30-12-2024</c:v>
                </c:pt>
                <c:pt idx="32">
                  <c:v>06-01-2025</c:v>
                </c:pt>
                <c:pt idx="33">
                  <c:v>13-01-2025</c:v>
                </c:pt>
                <c:pt idx="34">
                  <c:v>20-01-2025</c:v>
                </c:pt>
                <c:pt idx="35">
                  <c:v>27-01-2025</c:v>
                </c:pt>
                <c:pt idx="36">
                  <c:v>03-02-2025</c:v>
                </c:pt>
                <c:pt idx="37">
                  <c:v>10-02-2025</c:v>
                </c:pt>
                <c:pt idx="38">
                  <c:v>17-02-2025</c:v>
                </c:pt>
                <c:pt idx="39">
                  <c:v>24-02-2025</c:v>
                </c:pt>
                <c:pt idx="40">
                  <c:v>03-03-2025</c:v>
                </c:pt>
                <c:pt idx="41">
                  <c:v>10-03-2025</c:v>
                </c:pt>
                <c:pt idx="42">
                  <c:v>17-03-2025</c:v>
                </c:pt>
                <c:pt idx="43">
                  <c:v>24-03-2025</c:v>
                </c:pt>
                <c:pt idx="44">
                  <c:v>31-03-2025</c:v>
                </c:pt>
                <c:pt idx="45">
                  <c:v>07-04-2025</c:v>
                </c:pt>
                <c:pt idx="46">
                  <c:v>14-04-2025</c:v>
                </c:pt>
                <c:pt idx="47">
                  <c:v>21-04-2025</c:v>
                </c:pt>
                <c:pt idx="48">
                  <c:v>28-04-2025</c:v>
                </c:pt>
                <c:pt idx="49">
                  <c:v>05-05-2025</c:v>
                </c:pt>
                <c:pt idx="50">
                  <c:v>12-05-2025</c:v>
                </c:pt>
              </c:strCache>
            </c:strRef>
          </c:cat>
          <c:val>
            <c:numRef>
              <c:f>'Moving average calculation'!$R$9:$R$60</c:f>
              <c:numCache>
                <c:formatCode>General</c:formatCode>
                <c:ptCount val="51"/>
                <c:pt idx="0">
                  <c:v>382855.4</c:v>
                </c:pt>
                <c:pt idx="5">
                  <c:v>261059.6</c:v>
                </c:pt>
                <c:pt idx="6">
                  <c:v>203887.4</c:v>
                </c:pt>
                <c:pt idx="7">
                  <c:v>224889.8</c:v>
                </c:pt>
                <c:pt idx="8">
                  <c:v>228263</c:v>
                </c:pt>
                <c:pt idx="9">
                  <c:v>225863</c:v>
                </c:pt>
                <c:pt idx="10">
                  <c:v>229567.2</c:v>
                </c:pt>
                <c:pt idx="11">
                  <c:v>315760.2</c:v>
                </c:pt>
                <c:pt idx="12">
                  <c:v>350015.2</c:v>
                </c:pt>
                <c:pt idx="13">
                  <c:v>346012.6</c:v>
                </c:pt>
                <c:pt idx="14">
                  <c:v>361546.2</c:v>
                </c:pt>
                <c:pt idx="15">
                  <c:v>349563.4</c:v>
                </c:pt>
                <c:pt idx="16">
                  <c:v>261884.4</c:v>
                </c:pt>
                <c:pt idx="17">
                  <c:v>281320.59999999998</c:v>
                </c:pt>
                <c:pt idx="18">
                  <c:v>264614.59999999998</c:v>
                </c:pt>
                <c:pt idx="19">
                  <c:v>281784.8</c:v>
                </c:pt>
                <c:pt idx="20">
                  <c:v>283885</c:v>
                </c:pt>
                <c:pt idx="21">
                  <c:v>345144.2</c:v>
                </c:pt>
                <c:pt idx="22">
                  <c:v>329923.59999999998</c:v>
                </c:pt>
                <c:pt idx="23">
                  <c:v>266856.8</c:v>
                </c:pt>
                <c:pt idx="24">
                  <c:v>239699.20000000001</c:v>
                </c:pt>
                <c:pt idx="25">
                  <c:v>172205.6</c:v>
                </c:pt>
                <c:pt idx="26">
                  <c:v>157281</c:v>
                </c:pt>
                <c:pt idx="27">
                  <c:v>172368</c:v>
                </c:pt>
                <c:pt idx="28">
                  <c:v>205504.2</c:v>
                </c:pt>
                <c:pt idx="29">
                  <c:v>288335.8</c:v>
                </c:pt>
                <c:pt idx="30">
                  <c:v>334277.40000000002</c:v>
                </c:pt>
                <c:pt idx="31">
                  <c:v>305945</c:v>
                </c:pt>
                <c:pt idx="32">
                  <c:v>314830</c:v>
                </c:pt>
                <c:pt idx="33">
                  <c:v>340589.4</c:v>
                </c:pt>
                <c:pt idx="34">
                  <c:v>324215</c:v>
                </c:pt>
                <c:pt idx="35">
                  <c:v>339509</c:v>
                </c:pt>
                <c:pt idx="36">
                  <c:v>381659.4</c:v>
                </c:pt>
                <c:pt idx="37">
                  <c:v>332808.2</c:v>
                </c:pt>
                <c:pt idx="38">
                  <c:v>353574.2</c:v>
                </c:pt>
                <c:pt idx="39">
                  <c:v>302142.8</c:v>
                </c:pt>
                <c:pt idx="40">
                  <c:v>282205.59999999998</c:v>
                </c:pt>
                <c:pt idx="41">
                  <c:v>304322.8</c:v>
                </c:pt>
                <c:pt idx="42">
                  <c:v>341963.6</c:v>
                </c:pt>
                <c:pt idx="43">
                  <c:v>324277</c:v>
                </c:pt>
                <c:pt idx="44">
                  <c:v>355528.2</c:v>
                </c:pt>
                <c:pt idx="45">
                  <c:v>319770.2</c:v>
                </c:pt>
                <c:pt idx="46">
                  <c:v>240678.2</c:v>
                </c:pt>
                <c:pt idx="47">
                  <c:v>171200.6</c:v>
                </c:pt>
                <c:pt idx="48">
                  <c:v>187427.4</c:v>
                </c:pt>
                <c:pt idx="49">
                  <c:v>220451.8</c:v>
                </c:pt>
                <c:pt idx="50">
                  <c:v>298354.2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343-4B70-8854-EF415D3F5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708344672"/>
        <c:axId val="1708354272"/>
      </c:barChart>
      <c:catAx>
        <c:axId val="170834467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8354272"/>
        <c:crosses val="autoZero"/>
        <c:auto val="1"/>
        <c:lblAlgn val="ctr"/>
        <c:lblOffset val="100"/>
        <c:noMultiLvlLbl val="0"/>
      </c:catAx>
      <c:valAx>
        <c:axId val="170835427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8344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Weekly Follower Growth	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369225721784777"/>
          <c:y val="0.12583333333333332"/>
          <c:w val="0.78481824146981627"/>
          <c:h val="0.5757626130067075"/>
        </c:manualLayout>
      </c:layout>
      <c:lineChart>
        <c:grouping val="standard"/>
        <c:varyColors val="0"/>
        <c:ser>
          <c:idx val="0"/>
          <c:order val="0"/>
          <c:tx>
            <c:strRef>
              <c:f>Calculation!$D$2</c:f>
              <c:strCache>
                <c:ptCount val="1"/>
                <c:pt idx="0">
                  <c:v>Twitter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Calculation!$A$3:$A$53</c:f>
              <c:strCache>
                <c:ptCount val="51"/>
                <c:pt idx="0">
                  <c:v>03 June 2024</c:v>
                </c:pt>
                <c:pt idx="1">
                  <c:v>10 June 2024</c:v>
                </c:pt>
                <c:pt idx="2">
                  <c:v>17 June 2024</c:v>
                </c:pt>
                <c:pt idx="3">
                  <c:v>24 June 2024</c:v>
                </c:pt>
                <c:pt idx="4">
                  <c:v>01 July 2024</c:v>
                </c:pt>
                <c:pt idx="5">
                  <c:v>08 July 2024</c:v>
                </c:pt>
                <c:pt idx="6">
                  <c:v>15 July 2024</c:v>
                </c:pt>
                <c:pt idx="7">
                  <c:v>22 July 2024</c:v>
                </c:pt>
                <c:pt idx="8">
                  <c:v>29 July 2024</c:v>
                </c:pt>
                <c:pt idx="9">
                  <c:v>05 August 2024</c:v>
                </c:pt>
                <c:pt idx="10">
                  <c:v>12 August 2024</c:v>
                </c:pt>
                <c:pt idx="11">
                  <c:v>19 August 2024</c:v>
                </c:pt>
                <c:pt idx="12">
                  <c:v>26 August 2024</c:v>
                </c:pt>
                <c:pt idx="13">
                  <c:v>02 September 2024</c:v>
                </c:pt>
                <c:pt idx="14">
                  <c:v>09 September 2024</c:v>
                </c:pt>
                <c:pt idx="15">
                  <c:v>16 September 2024</c:v>
                </c:pt>
                <c:pt idx="16">
                  <c:v>23 September 2024</c:v>
                </c:pt>
                <c:pt idx="17">
                  <c:v>30 September 2024</c:v>
                </c:pt>
                <c:pt idx="18">
                  <c:v>07 October 2024</c:v>
                </c:pt>
                <c:pt idx="19">
                  <c:v>14 October 2024</c:v>
                </c:pt>
                <c:pt idx="20">
                  <c:v>21 October 2024</c:v>
                </c:pt>
                <c:pt idx="21">
                  <c:v>28 October 2024</c:v>
                </c:pt>
                <c:pt idx="22">
                  <c:v>04 November 2024</c:v>
                </c:pt>
                <c:pt idx="23">
                  <c:v>11 November 2024</c:v>
                </c:pt>
                <c:pt idx="24">
                  <c:v>18 November 2024</c:v>
                </c:pt>
                <c:pt idx="25">
                  <c:v>25 November 2024</c:v>
                </c:pt>
                <c:pt idx="26">
                  <c:v>02 December 2024</c:v>
                </c:pt>
                <c:pt idx="27">
                  <c:v>09 December 2024</c:v>
                </c:pt>
                <c:pt idx="28">
                  <c:v>16 December 2024</c:v>
                </c:pt>
                <c:pt idx="29">
                  <c:v>23 December 2024</c:v>
                </c:pt>
                <c:pt idx="30">
                  <c:v>30 December 2024</c:v>
                </c:pt>
                <c:pt idx="31">
                  <c:v>06 January 2025</c:v>
                </c:pt>
                <c:pt idx="32">
                  <c:v>13 January 2025</c:v>
                </c:pt>
                <c:pt idx="33">
                  <c:v>20 January 2025</c:v>
                </c:pt>
                <c:pt idx="34">
                  <c:v>27 January 2025</c:v>
                </c:pt>
                <c:pt idx="35">
                  <c:v>03 February 2025</c:v>
                </c:pt>
                <c:pt idx="36">
                  <c:v>10 February 2025</c:v>
                </c:pt>
                <c:pt idx="37">
                  <c:v>17 February 2025</c:v>
                </c:pt>
                <c:pt idx="38">
                  <c:v>24 February 2025</c:v>
                </c:pt>
                <c:pt idx="39">
                  <c:v>03 March 2025</c:v>
                </c:pt>
                <c:pt idx="40">
                  <c:v>10 March 2025</c:v>
                </c:pt>
                <c:pt idx="41">
                  <c:v>17 March 2025</c:v>
                </c:pt>
                <c:pt idx="42">
                  <c:v>24 March 2025</c:v>
                </c:pt>
                <c:pt idx="43">
                  <c:v>31 March 2025</c:v>
                </c:pt>
                <c:pt idx="44">
                  <c:v>07 April 2025</c:v>
                </c:pt>
                <c:pt idx="45">
                  <c:v>14 April 2025</c:v>
                </c:pt>
                <c:pt idx="46">
                  <c:v>21 April 2025</c:v>
                </c:pt>
                <c:pt idx="47">
                  <c:v>28 April 2025</c:v>
                </c:pt>
                <c:pt idx="48">
                  <c:v>05 May 2025</c:v>
                </c:pt>
                <c:pt idx="49">
                  <c:v>12 May 2025</c:v>
                </c:pt>
                <c:pt idx="50">
                  <c:v>Grand Total</c:v>
                </c:pt>
              </c:strCache>
            </c:strRef>
          </c:cat>
          <c:val>
            <c:numRef>
              <c:f>Calculation!$D$3:$D$53</c:f>
              <c:numCache>
                <c:formatCode>General</c:formatCode>
                <c:ptCount val="51"/>
                <c:pt idx="0">
                  <c:v>146834</c:v>
                </c:pt>
                <c:pt idx="1">
                  <c:v>254347</c:v>
                </c:pt>
                <c:pt idx="2">
                  <c:v>122732</c:v>
                </c:pt>
                <c:pt idx="3">
                  <c:v>298421</c:v>
                </c:pt>
                <c:pt idx="4">
                  <c:v>315305</c:v>
                </c:pt>
                <c:pt idx="5">
                  <c:v>389810</c:v>
                </c:pt>
                <c:pt idx="6">
                  <c:v>226002</c:v>
                </c:pt>
                <c:pt idx="7">
                  <c:v>198278</c:v>
                </c:pt>
                <c:pt idx="8">
                  <c:v>287574</c:v>
                </c:pt>
                <c:pt idx="9">
                  <c:v>449994</c:v>
                </c:pt>
                <c:pt idx="10">
                  <c:v>434883</c:v>
                </c:pt>
                <c:pt idx="11">
                  <c:v>188655</c:v>
                </c:pt>
                <c:pt idx="12">
                  <c:v>186454</c:v>
                </c:pt>
                <c:pt idx="13">
                  <c:v>318779</c:v>
                </c:pt>
                <c:pt idx="14">
                  <c:v>434047</c:v>
                </c:pt>
                <c:pt idx="15">
                  <c:v>392355</c:v>
                </c:pt>
                <c:pt idx="16">
                  <c:v>268516</c:v>
                </c:pt>
                <c:pt idx="17">
                  <c:v>64906</c:v>
                </c:pt>
                <c:pt idx="18">
                  <c:v>476486</c:v>
                </c:pt>
                <c:pt idx="19">
                  <c:v>309772</c:v>
                </c:pt>
                <c:pt idx="20">
                  <c:v>258287</c:v>
                </c:pt>
                <c:pt idx="21">
                  <c:v>240550</c:v>
                </c:pt>
                <c:pt idx="22">
                  <c:v>439080</c:v>
                </c:pt>
                <c:pt idx="23">
                  <c:v>87305</c:v>
                </c:pt>
                <c:pt idx="24">
                  <c:v>487523</c:v>
                </c:pt>
                <c:pt idx="25">
                  <c:v>88455</c:v>
                </c:pt>
                <c:pt idx="26">
                  <c:v>309904</c:v>
                </c:pt>
                <c:pt idx="27">
                  <c:v>20607</c:v>
                </c:pt>
                <c:pt idx="28">
                  <c:v>327183</c:v>
                </c:pt>
                <c:pt idx="29">
                  <c:v>81119</c:v>
                </c:pt>
                <c:pt idx="30">
                  <c:v>274831</c:v>
                </c:pt>
                <c:pt idx="31">
                  <c:v>371156</c:v>
                </c:pt>
                <c:pt idx="32">
                  <c:v>487896</c:v>
                </c:pt>
                <c:pt idx="33">
                  <c:v>124404</c:v>
                </c:pt>
                <c:pt idx="34">
                  <c:v>262569</c:v>
                </c:pt>
                <c:pt idx="35">
                  <c:v>177554</c:v>
                </c:pt>
                <c:pt idx="36">
                  <c:v>126582</c:v>
                </c:pt>
                <c:pt idx="37">
                  <c:v>145608</c:v>
                </c:pt>
                <c:pt idx="38">
                  <c:v>317007</c:v>
                </c:pt>
                <c:pt idx="39">
                  <c:v>466575</c:v>
                </c:pt>
                <c:pt idx="40">
                  <c:v>12471</c:v>
                </c:pt>
                <c:pt idx="41">
                  <c:v>12447</c:v>
                </c:pt>
                <c:pt idx="42">
                  <c:v>211090</c:v>
                </c:pt>
                <c:pt idx="43">
                  <c:v>198350</c:v>
                </c:pt>
                <c:pt idx="44">
                  <c:v>29589</c:v>
                </c:pt>
                <c:pt idx="45">
                  <c:v>142507</c:v>
                </c:pt>
                <c:pt idx="46">
                  <c:v>333851</c:v>
                </c:pt>
                <c:pt idx="47">
                  <c:v>487289</c:v>
                </c:pt>
                <c:pt idx="48">
                  <c:v>484364</c:v>
                </c:pt>
                <c:pt idx="49">
                  <c:v>456298</c:v>
                </c:pt>
                <c:pt idx="50">
                  <c:v>487896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82-48E8-8F09-EE51B621FC82}"/>
            </c:ext>
          </c:extLst>
        </c:ser>
        <c:ser>
          <c:idx val="1"/>
          <c:order val="1"/>
          <c:tx>
            <c:strRef>
              <c:f>Calculation!$E$2</c:f>
              <c:strCache>
                <c:ptCount val="1"/>
                <c:pt idx="0">
                  <c:v>Youtube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Calculation!$A$3:$A$53</c:f>
              <c:strCache>
                <c:ptCount val="51"/>
                <c:pt idx="0">
                  <c:v>03 June 2024</c:v>
                </c:pt>
                <c:pt idx="1">
                  <c:v>10 June 2024</c:v>
                </c:pt>
                <c:pt idx="2">
                  <c:v>17 June 2024</c:v>
                </c:pt>
                <c:pt idx="3">
                  <c:v>24 June 2024</c:v>
                </c:pt>
                <c:pt idx="4">
                  <c:v>01 July 2024</c:v>
                </c:pt>
                <c:pt idx="5">
                  <c:v>08 July 2024</c:v>
                </c:pt>
                <c:pt idx="6">
                  <c:v>15 July 2024</c:v>
                </c:pt>
                <c:pt idx="7">
                  <c:v>22 July 2024</c:v>
                </c:pt>
                <c:pt idx="8">
                  <c:v>29 July 2024</c:v>
                </c:pt>
                <c:pt idx="9">
                  <c:v>05 August 2024</c:v>
                </c:pt>
                <c:pt idx="10">
                  <c:v>12 August 2024</c:v>
                </c:pt>
                <c:pt idx="11">
                  <c:v>19 August 2024</c:v>
                </c:pt>
                <c:pt idx="12">
                  <c:v>26 August 2024</c:v>
                </c:pt>
                <c:pt idx="13">
                  <c:v>02 September 2024</c:v>
                </c:pt>
                <c:pt idx="14">
                  <c:v>09 September 2024</c:v>
                </c:pt>
                <c:pt idx="15">
                  <c:v>16 September 2024</c:v>
                </c:pt>
                <c:pt idx="16">
                  <c:v>23 September 2024</c:v>
                </c:pt>
                <c:pt idx="17">
                  <c:v>30 September 2024</c:v>
                </c:pt>
                <c:pt idx="18">
                  <c:v>07 October 2024</c:v>
                </c:pt>
                <c:pt idx="19">
                  <c:v>14 October 2024</c:v>
                </c:pt>
                <c:pt idx="20">
                  <c:v>21 October 2024</c:v>
                </c:pt>
                <c:pt idx="21">
                  <c:v>28 October 2024</c:v>
                </c:pt>
                <c:pt idx="22">
                  <c:v>04 November 2024</c:v>
                </c:pt>
                <c:pt idx="23">
                  <c:v>11 November 2024</c:v>
                </c:pt>
                <c:pt idx="24">
                  <c:v>18 November 2024</c:v>
                </c:pt>
                <c:pt idx="25">
                  <c:v>25 November 2024</c:v>
                </c:pt>
                <c:pt idx="26">
                  <c:v>02 December 2024</c:v>
                </c:pt>
                <c:pt idx="27">
                  <c:v>09 December 2024</c:v>
                </c:pt>
                <c:pt idx="28">
                  <c:v>16 December 2024</c:v>
                </c:pt>
                <c:pt idx="29">
                  <c:v>23 December 2024</c:v>
                </c:pt>
                <c:pt idx="30">
                  <c:v>30 December 2024</c:v>
                </c:pt>
                <c:pt idx="31">
                  <c:v>06 January 2025</c:v>
                </c:pt>
                <c:pt idx="32">
                  <c:v>13 January 2025</c:v>
                </c:pt>
                <c:pt idx="33">
                  <c:v>20 January 2025</c:v>
                </c:pt>
                <c:pt idx="34">
                  <c:v>27 January 2025</c:v>
                </c:pt>
                <c:pt idx="35">
                  <c:v>03 February 2025</c:v>
                </c:pt>
                <c:pt idx="36">
                  <c:v>10 February 2025</c:v>
                </c:pt>
                <c:pt idx="37">
                  <c:v>17 February 2025</c:v>
                </c:pt>
                <c:pt idx="38">
                  <c:v>24 February 2025</c:v>
                </c:pt>
                <c:pt idx="39">
                  <c:v>03 March 2025</c:v>
                </c:pt>
                <c:pt idx="40">
                  <c:v>10 March 2025</c:v>
                </c:pt>
                <c:pt idx="41">
                  <c:v>17 March 2025</c:v>
                </c:pt>
                <c:pt idx="42">
                  <c:v>24 March 2025</c:v>
                </c:pt>
                <c:pt idx="43">
                  <c:v>31 March 2025</c:v>
                </c:pt>
                <c:pt idx="44">
                  <c:v>07 April 2025</c:v>
                </c:pt>
                <c:pt idx="45">
                  <c:v>14 April 2025</c:v>
                </c:pt>
                <c:pt idx="46">
                  <c:v>21 April 2025</c:v>
                </c:pt>
                <c:pt idx="47">
                  <c:v>28 April 2025</c:v>
                </c:pt>
                <c:pt idx="48">
                  <c:v>05 May 2025</c:v>
                </c:pt>
                <c:pt idx="49">
                  <c:v>12 May 2025</c:v>
                </c:pt>
                <c:pt idx="50">
                  <c:v>Grand Total</c:v>
                </c:pt>
              </c:strCache>
            </c:strRef>
          </c:cat>
          <c:val>
            <c:numRef>
              <c:f>Calculation!$E$3:$E$53</c:f>
              <c:numCache>
                <c:formatCode>General</c:formatCode>
                <c:ptCount val="51"/>
                <c:pt idx="0">
                  <c:v>395536</c:v>
                </c:pt>
                <c:pt idx="1">
                  <c:v>413878</c:v>
                </c:pt>
                <c:pt idx="2">
                  <c:v>382851</c:v>
                </c:pt>
                <c:pt idx="3">
                  <c:v>426184</c:v>
                </c:pt>
                <c:pt idx="4">
                  <c:v>113678</c:v>
                </c:pt>
                <c:pt idx="5">
                  <c:v>233694</c:v>
                </c:pt>
                <c:pt idx="6">
                  <c:v>156683</c:v>
                </c:pt>
                <c:pt idx="7">
                  <c:v>306564</c:v>
                </c:pt>
                <c:pt idx="8">
                  <c:v>62499</c:v>
                </c:pt>
                <c:pt idx="9">
                  <c:v>320650</c:v>
                </c:pt>
                <c:pt idx="10">
                  <c:v>102042</c:v>
                </c:pt>
                <c:pt idx="11">
                  <c:v>87443</c:v>
                </c:pt>
                <c:pt idx="12">
                  <c:v>239044</c:v>
                </c:pt>
                <c:pt idx="13">
                  <c:v>370971</c:v>
                </c:pt>
                <c:pt idx="14">
                  <c:v>64583</c:v>
                </c:pt>
                <c:pt idx="15">
                  <c:v>119934</c:v>
                </c:pt>
                <c:pt idx="16">
                  <c:v>63177</c:v>
                </c:pt>
                <c:pt idx="17">
                  <c:v>94360</c:v>
                </c:pt>
                <c:pt idx="18">
                  <c:v>117767</c:v>
                </c:pt>
                <c:pt idx="19">
                  <c:v>199178</c:v>
                </c:pt>
                <c:pt idx="20">
                  <c:v>256910</c:v>
                </c:pt>
                <c:pt idx="21">
                  <c:v>305827</c:v>
                </c:pt>
                <c:pt idx="22">
                  <c:v>258944</c:v>
                </c:pt>
                <c:pt idx="23">
                  <c:v>121091</c:v>
                </c:pt>
                <c:pt idx="24">
                  <c:v>301695</c:v>
                </c:pt>
                <c:pt idx="25">
                  <c:v>62535</c:v>
                </c:pt>
                <c:pt idx="26">
                  <c:v>221274</c:v>
                </c:pt>
                <c:pt idx="27">
                  <c:v>451894</c:v>
                </c:pt>
                <c:pt idx="28">
                  <c:v>488901</c:v>
                </c:pt>
                <c:pt idx="29">
                  <c:v>25177</c:v>
                </c:pt>
                <c:pt idx="30">
                  <c:v>136845</c:v>
                </c:pt>
                <c:pt idx="31">
                  <c:v>95410</c:v>
                </c:pt>
                <c:pt idx="32">
                  <c:v>14437</c:v>
                </c:pt>
                <c:pt idx="33">
                  <c:v>336949</c:v>
                </c:pt>
                <c:pt idx="34">
                  <c:v>461669</c:v>
                </c:pt>
                <c:pt idx="35">
                  <c:v>270766</c:v>
                </c:pt>
                <c:pt idx="36">
                  <c:v>485280</c:v>
                </c:pt>
                <c:pt idx="37">
                  <c:v>105980</c:v>
                </c:pt>
                <c:pt idx="38">
                  <c:v>464239</c:v>
                </c:pt>
                <c:pt idx="39">
                  <c:v>224534</c:v>
                </c:pt>
                <c:pt idx="40">
                  <c:v>98397</c:v>
                </c:pt>
                <c:pt idx="41">
                  <c:v>17380</c:v>
                </c:pt>
                <c:pt idx="42">
                  <c:v>441931</c:v>
                </c:pt>
                <c:pt idx="43">
                  <c:v>435726</c:v>
                </c:pt>
                <c:pt idx="44">
                  <c:v>290354</c:v>
                </c:pt>
                <c:pt idx="45">
                  <c:v>369525</c:v>
                </c:pt>
                <c:pt idx="46">
                  <c:v>270958</c:v>
                </c:pt>
                <c:pt idx="47">
                  <c:v>11435</c:v>
                </c:pt>
                <c:pt idx="48">
                  <c:v>148477</c:v>
                </c:pt>
                <c:pt idx="49">
                  <c:v>82558</c:v>
                </c:pt>
                <c:pt idx="50">
                  <c:v>488901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82-48E8-8F09-EE51B621FC82}"/>
            </c:ext>
          </c:extLst>
        </c:ser>
        <c:ser>
          <c:idx val="2"/>
          <c:order val="2"/>
          <c:tx>
            <c:strRef>
              <c:f>Calculation!$F$2</c:f>
              <c:strCache>
                <c:ptCount val="1"/>
                <c:pt idx="0">
                  <c:v>Grand Total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Calculation!$A$3:$A$53</c:f>
              <c:strCache>
                <c:ptCount val="51"/>
                <c:pt idx="0">
                  <c:v>03 June 2024</c:v>
                </c:pt>
                <c:pt idx="1">
                  <c:v>10 June 2024</c:v>
                </c:pt>
                <c:pt idx="2">
                  <c:v>17 June 2024</c:v>
                </c:pt>
                <c:pt idx="3">
                  <c:v>24 June 2024</c:v>
                </c:pt>
                <c:pt idx="4">
                  <c:v>01 July 2024</c:v>
                </c:pt>
                <c:pt idx="5">
                  <c:v>08 July 2024</c:v>
                </c:pt>
                <c:pt idx="6">
                  <c:v>15 July 2024</c:v>
                </c:pt>
                <c:pt idx="7">
                  <c:v>22 July 2024</c:v>
                </c:pt>
                <c:pt idx="8">
                  <c:v>29 July 2024</c:v>
                </c:pt>
                <c:pt idx="9">
                  <c:v>05 August 2024</c:v>
                </c:pt>
                <c:pt idx="10">
                  <c:v>12 August 2024</c:v>
                </c:pt>
                <c:pt idx="11">
                  <c:v>19 August 2024</c:v>
                </c:pt>
                <c:pt idx="12">
                  <c:v>26 August 2024</c:v>
                </c:pt>
                <c:pt idx="13">
                  <c:v>02 September 2024</c:v>
                </c:pt>
                <c:pt idx="14">
                  <c:v>09 September 2024</c:v>
                </c:pt>
                <c:pt idx="15">
                  <c:v>16 September 2024</c:v>
                </c:pt>
                <c:pt idx="16">
                  <c:v>23 September 2024</c:v>
                </c:pt>
                <c:pt idx="17">
                  <c:v>30 September 2024</c:v>
                </c:pt>
                <c:pt idx="18">
                  <c:v>07 October 2024</c:v>
                </c:pt>
                <c:pt idx="19">
                  <c:v>14 October 2024</c:v>
                </c:pt>
                <c:pt idx="20">
                  <c:v>21 October 2024</c:v>
                </c:pt>
                <c:pt idx="21">
                  <c:v>28 October 2024</c:v>
                </c:pt>
                <c:pt idx="22">
                  <c:v>04 November 2024</c:v>
                </c:pt>
                <c:pt idx="23">
                  <c:v>11 November 2024</c:v>
                </c:pt>
                <c:pt idx="24">
                  <c:v>18 November 2024</c:v>
                </c:pt>
                <c:pt idx="25">
                  <c:v>25 November 2024</c:v>
                </c:pt>
                <c:pt idx="26">
                  <c:v>02 December 2024</c:v>
                </c:pt>
                <c:pt idx="27">
                  <c:v>09 December 2024</c:v>
                </c:pt>
                <c:pt idx="28">
                  <c:v>16 December 2024</c:v>
                </c:pt>
                <c:pt idx="29">
                  <c:v>23 December 2024</c:v>
                </c:pt>
                <c:pt idx="30">
                  <c:v>30 December 2024</c:v>
                </c:pt>
                <c:pt idx="31">
                  <c:v>06 January 2025</c:v>
                </c:pt>
                <c:pt idx="32">
                  <c:v>13 January 2025</c:v>
                </c:pt>
                <c:pt idx="33">
                  <c:v>20 January 2025</c:v>
                </c:pt>
                <c:pt idx="34">
                  <c:v>27 January 2025</c:v>
                </c:pt>
                <c:pt idx="35">
                  <c:v>03 February 2025</c:v>
                </c:pt>
                <c:pt idx="36">
                  <c:v>10 February 2025</c:v>
                </c:pt>
                <c:pt idx="37">
                  <c:v>17 February 2025</c:v>
                </c:pt>
                <c:pt idx="38">
                  <c:v>24 February 2025</c:v>
                </c:pt>
                <c:pt idx="39">
                  <c:v>03 March 2025</c:v>
                </c:pt>
                <c:pt idx="40">
                  <c:v>10 March 2025</c:v>
                </c:pt>
                <c:pt idx="41">
                  <c:v>17 March 2025</c:v>
                </c:pt>
                <c:pt idx="42">
                  <c:v>24 March 2025</c:v>
                </c:pt>
                <c:pt idx="43">
                  <c:v>31 March 2025</c:v>
                </c:pt>
                <c:pt idx="44">
                  <c:v>07 April 2025</c:v>
                </c:pt>
                <c:pt idx="45">
                  <c:v>14 April 2025</c:v>
                </c:pt>
                <c:pt idx="46">
                  <c:v>21 April 2025</c:v>
                </c:pt>
                <c:pt idx="47">
                  <c:v>28 April 2025</c:v>
                </c:pt>
                <c:pt idx="48">
                  <c:v>05 May 2025</c:v>
                </c:pt>
                <c:pt idx="49">
                  <c:v>12 May 2025</c:v>
                </c:pt>
                <c:pt idx="50">
                  <c:v>Grand Total</c:v>
                </c:pt>
              </c:strCache>
            </c:strRef>
          </c:cat>
          <c:val>
            <c:numRef>
              <c:f>Calculation!$F$3:$F$53</c:f>
              <c:numCache>
                <c:formatCode>General</c:formatCode>
                <c:ptCount val="51"/>
                <c:pt idx="0">
                  <c:v>395536</c:v>
                </c:pt>
                <c:pt idx="1">
                  <c:v>413878</c:v>
                </c:pt>
                <c:pt idx="2">
                  <c:v>456946</c:v>
                </c:pt>
                <c:pt idx="3">
                  <c:v>426184</c:v>
                </c:pt>
                <c:pt idx="4">
                  <c:v>419447</c:v>
                </c:pt>
                <c:pt idx="5">
                  <c:v>389810</c:v>
                </c:pt>
                <c:pt idx="6">
                  <c:v>334626</c:v>
                </c:pt>
                <c:pt idx="7">
                  <c:v>473812</c:v>
                </c:pt>
                <c:pt idx="8">
                  <c:v>435034</c:v>
                </c:pt>
                <c:pt idx="9">
                  <c:v>449994</c:v>
                </c:pt>
                <c:pt idx="10">
                  <c:v>489188</c:v>
                </c:pt>
                <c:pt idx="11">
                  <c:v>325444</c:v>
                </c:pt>
                <c:pt idx="12">
                  <c:v>453799</c:v>
                </c:pt>
                <c:pt idx="13">
                  <c:v>496982</c:v>
                </c:pt>
                <c:pt idx="14">
                  <c:v>434047</c:v>
                </c:pt>
                <c:pt idx="15">
                  <c:v>474162</c:v>
                </c:pt>
                <c:pt idx="16">
                  <c:v>422625</c:v>
                </c:pt>
                <c:pt idx="17">
                  <c:v>453423</c:v>
                </c:pt>
                <c:pt idx="18">
                  <c:v>476486</c:v>
                </c:pt>
                <c:pt idx="19">
                  <c:v>388555</c:v>
                </c:pt>
                <c:pt idx="20">
                  <c:v>357089</c:v>
                </c:pt>
                <c:pt idx="21">
                  <c:v>346522</c:v>
                </c:pt>
                <c:pt idx="22">
                  <c:v>439080</c:v>
                </c:pt>
                <c:pt idx="23">
                  <c:v>309483</c:v>
                </c:pt>
                <c:pt idx="24">
                  <c:v>487523</c:v>
                </c:pt>
                <c:pt idx="25">
                  <c:v>336661</c:v>
                </c:pt>
                <c:pt idx="26">
                  <c:v>470269</c:v>
                </c:pt>
                <c:pt idx="27">
                  <c:v>451894</c:v>
                </c:pt>
                <c:pt idx="28">
                  <c:v>488901</c:v>
                </c:pt>
                <c:pt idx="29">
                  <c:v>280795</c:v>
                </c:pt>
                <c:pt idx="30">
                  <c:v>379431</c:v>
                </c:pt>
                <c:pt idx="31">
                  <c:v>466382</c:v>
                </c:pt>
                <c:pt idx="32">
                  <c:v>487896</c:v>
                </c:pt>
                <c:pt idx="33">
                  <c:v>479490</c:v>
                </c:pt>
                <c:pt idx="34">
                  <c:v>461669</c:v>
                </c:pt>
                <c:pt idx="35">
                  <c:v>351556</c:v>
                </c:pt>
                <c:pt idx="36">
                  <c:v>485280</c:v>
                </c:pt>
                <c:pt idx="37">
                  <c:v>453243</c:v>
                </c:pt>
                <c:pt idx="38">
                  <c:v>464239</c:v>
                </c:pt>
                <c:pt idx="39">
                  <c:v>466575</c:v>
                </c:pt>
                <c:pt idx="40">
                  <c:v>462142</c:v>
                </c:pt>
                <c:pt idx="41">
                  <c:v>410330</c:v>
                </c:pt>
                <c:pt idx="42">
                  <c:v>441931</c:v>
                </c:pt>
                <c:pt idx="43">
                  <c:v>435726</c:v>
                </c:pt>
                <c:pt idx="44">
                  <c:v>290354</c:v>
                </c:pt>
                <c:pt idx="45">
                  <c:v>369525</c:v>
                </c:pt>
                <c:pt idx="46">
                  <c:v>377382</c:v>
                </c:pt>
                <c:pt idx="47">
                  <c:v>487289</c:v>
                </c:pt>
                <c:pt idx="48">
                  <c:v>484364</c:v>
                </c:pt>
                <c:pt idx="49">
                  <c:v>468301</c:v>
                </c:pt>
                <c:pt idx="50">
                  <c:v>496982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82-48E8-8F09-EE51B621FC82}"/>
            </c:ext>
          </c:extLst>
        </c:ser>
        <c:ser>
          <c:idx val="3"/>
          <c:order val="3"/>
          <c:tx>
            <c:strRef>
              <c:f>Calculation!$G$2</c:f>
              <c:strCache>
                <c:ptCount val="1"/>
                <c:pt idx="0">
                  <c:v>Face Book Growth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Calculation!$A$3:$A$53</c:f>
              <c:strCache>
                <c:ptCount val="51"/>
                <c:pt idx="0">
                  <c:v>03 June 2024</c:v>
                </c:pt>
                <c:pt idx="1">
                  <c:v>10 June 2024</c:v>
                </c:pt>
                <c:pt idx="2">
                  <c:v>17 June 2024</c:v>
                </c:pt>
                <c:pt idx="3">
                  <c:v>24 June 2024</c:v>
                </c:pt>
                <c:pt idx="4">
                  <c:v>01 July 2024</c:v>
                </c:pt>
                <c:pt idx="5">
                  <c:v>08 July 2024</c:v>
                </c:pt>
                <c:pt idx="6">
                  <c:v>15 July 2024</c:v>
                </c:pt>
                <c:pt idx="7">
                  <c:v>22 July 2024</c:v>
                </c:pt>
                <c:pt idx="8">
                  <c:v>29 July 2024</c:v>
                </c:pt>
                <c:pt idx="9">
                  <c:v>05 August 2024</c:v>
                </c:pt>
                <c:pt idx="10">
                  <c:v>12 August 2024</c:v>
                </c:pt>
                <c:pt idx="11">
                  <c:v>19 August 2024</c:v>
                </c:pt>
                <c:pt idx="12">
                  <c:v>26 August 2024</c:v>
                </c:pt>
                <c:pt idx="13">
                  <c:v>02 September 2024</c:v>
                </c:pt>
                <c:pt idx="14">
                  <c:v>09 September 2024</c:v>
                </c:pt>
                <c:pt idx="15">
                  <c:v>16 September 2024</c:v>
                </c:pt>
                <c:pt idx="16">
                  <c:v>23 September 2024</c:v>
                </c:pt>
                <c:pt idx="17">
                  <c:v>30 September 2024</c:v>
                </c:pt>
                <c:pt idx="18">
                  <c:v>07 October 2024</c:v>
                </c:pt>
                <c:pt idx="19">
                  <c:v>14 October 2024</c:v>
                </c:pt>
                <c:pt idx="20">
                  <c:v>21 October 2024</c:v>
                </c:pt>
                <c:pt idx="21">
                  <c:v>28 October 2024</c:v>
                </c:pt>
                <c:pt idx="22">
                  <c:v>04 November 2024</c:v>
                </c:pt>
                <c:pt idx="23">
                  <c:v>11 November 2024</c:v>
                </c:pt>
                <c:pt idx="24">
                  <c:v>18 November 2024</c:v>
                </c:pt>
                <c:pt idx="25">
                  <c:v>25 November 2024</c:v>
                </c:pt>
                <c:pt idx="26">
                  <c:v>02 December 2024</c:v>
                </c:pt>
                <c:pt idx="27">
                  <c:v>09 December 2024</c:v>
                </c:pt>
                <c:pt idx="28">
                  <c:v>16 December 2024</c:v>
                </c:pt>
                <c:pt idx="29">
                  <c:v>23 December 2024</c:v>
                </c:pt>
                <c:pt idx="30">
                  <c:v>30 December 2024</c:v>
                </c:pt>
                <c:pt idx="31">
                  <c:v>06 January 2025</c:v>
                </c:pt>
                <c:pt idx="32">
                  <c:v>13 January 2025</c:v>
                </c:pt>
                <c:pt idx="33">
                  <c:v>20 January 2025</c:v>
                </c:pt>
                <c:pt idx="34">
                  <c:v>27 January 2025</c:v>
                </c:pt>
                <c:pt idx="35">
                  <c:v>03 February 2025</c:v>
                </c:pt>
                <c:pt idx="36">
                  <c:v>10 February 2025</c:v>
                </c:pt>
                <c:pt idx="37">
                  <c:v>17 February 2025</c:v>
                </c:pt>
                <c:pt idx="38">
                  <c:v>24 February 2025</c:v>
                </c:pt>
                <c:pt idx="39">
                  <c:v>03 March 2025</c:v>
                </c:pt>
                <c:pt idx="40">
                  <c:v>10 March 2025</c:v>
                </c:pt>
                <c:pt idx="41">
                  <c:v>17 March 2025</c:v>
                </c:pt>
                <c:pt idx="42">
                  <c:v>24 March 2025</c:v>
                </c:pt>
                <c:pt idx="43">
                  <c:v>31 March 2025</c:v>
                </c:pt>
                <c:pt idx="44">
                  <c:v>07 April 2025</c:v>
                </c:pt>
                <c:pt idx="45">
                  <c:v>14 April 2025</c:v>
                </c:pt>
                <c:pt idx="46">
                  <c:v>21 April 2025</c:v>
                </c:pt>
                <c:pt idx="47">
                  <c:v>28 April 2025</c:v>
                </c:pt>
                <c:pt idx="48">
                  <c:v>05 May 2025</c:v>
                </c:pt>
                <c:pt idx="49">
                  <c:v>12 May 2025</c:v>
                </c:pt>
                <c:pt idx="50">
                  <c:v>Grand Total</c:v>
                </c:pt>
              </c:strCache>
            </c:strRef>
          </c:cat>
          <c:val>
            <c:numRef>
              <c:f>Calculation!$G$3:$G$53</c:f>
              <c:numCache>
                <c:formatCode>General</c:formatCode>
                <c:ptCount val="51"/>
                <c:pt idx="0">
                  <c:v>273901</c:v>
                </c:pt>
                <c:pt idx="1">
                  <c:v>-147059</c:v>
                </c:pt>
                <c:pt idx="2">
                  <c:v>-143201</c:v>
                </c:pt>
                <c:pt idx="3">
                  <c:v>193725</c:v>
                </c:pt>
                <c:pt idx="4">
                  <c:v>31674</c:v>
                </c:pt>
                <c:pt idx="5">
                  <c:v>82932</c:v>
                </c:pt>
                <c:pt idx="6">
                  <c:v>-39594</c:v>
                </c:pt>
                <c:pt idx="7">
                  <c:v>140002</c:v>
                </c:pt>
                <c:pt idx="8">
                  <c:v>-310000</c:v>
                </c:pt>
                <c:pt idx="9">
                  <c:v>182578</c:v>
                </c:pt>
                <c:pt idx="10">
                  <c:v>-123688</c:v>
                </c:pt>
                <c:pt idx="11">
                  <c:v>195456</c:v>
                </c:pt>
                <c:pt idx="12">
                  <c:v>117602</c:v>
                </c:pt>
                <c:pt idx="13">
                  <c:v>-189458</c:v>
                </c:pt>
                <c:pt idx="14">
                  <c:v>166638</c:v>
                </c:pt>
                <c:pt idx="15">
                  <c:v>-234409</c:v>
                </c:pt>
                <c:pt idx="16">
                  <c:v>213670</c:v>
                </c:pt>
                <c:pt idx="17">
                  <c:v>-74060</c:v>
                </c:pt>
                <c:pt idx="18">
                  <c:v>-221764</c:v>
                </c:pt>
                <c:pt idx="19">
                  <c:v>-134107</c:v>
                </c:pt>
                <c:pt idx="20">
                  <c:v>186495</c:v>
                </c:pt>
                <c:pt idx="21">
                  <c:v>109199</c:v>
                </c:pt>
                <c:pt idx="22">
                  <c:v>-9703</c:v>
                </c:pt>
                <c:pt idx="23">
                  <c:v>29364</c:v>
                </c:pt>
                <c:pt idx="24">
                  <c:v>-2186</c:v>
                </c:pt>
                <c:pt idx="25">
                  <c:v>133608</c:v>
                </c:pt>
                <c:pt idx="26">
                  <c:v>-434427</c:v>
                </c:pt>
                <c:pt idx="27">
                  <c:v>379973</c:v>
                </c:pt>
                <c:pt idx="28">
                  <c:v>-322468</c:v>
                </c:pt>
                <c:pt idx="29">
                  <c:v>286084</c:v>
                </c:pt>
                <c:pt idx="30">
                  <c:v>-283703</c:v>
                </c:pt>
                <c:pt idx="31">
                  <c:v>128971</c:v>
                </c:pt>
                <c:pt idx="32">
                  <c:v>254791</c:v>
                </c:pt>
                <c:pt idx="33">
                  <c:v>-158183</c:v>
                </c:pt>
                <c:pt idx="34">
                  <c:v>-185320</c:v>
                </c:pt>
                <c:pt idx="35">
                  <c:v>173927</c:v>
                </c:pt>
                <c:pt idx="36">
                  <c:v>-204947</c:v>
                </c:pt>
                <c:pt idx="37">
                  <c:v>125481</c:v>
                </c:pt>
                <c:pt idx="38">
                  <c:v>136433</c:v>
                </c:pt>
                <c:pt idx="39">
                  <c:v>-26039</c:v>
                </c:pt>
                <c:pt idx="40">
                  <c:v>1287</c:v>
                </c:pt>
                <c:pt idx="41">
                  <c:v>31477</c:v>
                </c:pt>
                <c:pt idx="42">
                  <c:v>-3536</c:v>
                </c:pt>
                <c:pt idx="43">
                  <c:v>-271474</c:v>
                </c:pt>
                <c:pt idx="44">
                  <c:v>-27889</c:v>
                </c:pt>
                <c:pt idx="45">
                  <c:v>306675</c:v>
                </c:pt>
                <c:pt idx="46">
                  <c:v>-152552</c:v>
                </c:pt>
                <c:pt idx="47">
                  <c:v>193866</c:v>
                </c:pt>
                <c:pt idx="48">
                  <c:v>-53876</c:v>
                </c:pt>
                <c:pt idx="49">
                  <c:v>132162</c:v>
                </c:pt>
                <c:pt idx="50">
                  <c:v>-496982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282-48E8-8F09-EE51B621FC82}"/>
            </c:ext>
          </c:extLst>
        </c:ser>
        <c:ser>
          <c:idx val="4"/>
          <c:order val="4"/>
          <c:tx>
            <c:strRef>
              <c:f>Calculation!$H$2</c:f>
              <c:strCache>
                <c:ptCount val="1"/>
                <c:pt idx="0">
                  <c:v>Instagram growth</c:v>
                </c:pt>
              </c:strCache>
            </c:strRef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Calculation!$A$3:$A$53</c:f>
              <c:strCache>
                <c:ptCount val="51"/>
                <c:pt idx="0">
                  <c:v>03 June 2024</c:v>
                </c:pt>
                <c:pt idx="1">
                  <c:v>10 June 2024</c:v>
                </c:pt>
                <c:pt idx="2">
                  <c:v>17 June 2024</c:v>
                </c:pt>
                <c:pt idx="3">
                  <c:v>24 June 2024</c:v>
                </c:pt>
                <c:pt idx="4">
                  <c:v>01 July 2024</c:v>
                </c:pt>
                <c:pt idx="5">
                  <c:v>08 July 2024</c:v>
                </c:pt>
                <c:pt idx="6">
                  <c:v>15 July 2024</c:v>
                </c:pt>
                <c:pt idx="7">
                  <c:v>22 July 2024</c:v>
                </c:pt>
                <c:pt idx="8">
                  <c:v>29 July 2024</c:v>
                </c:pt>
                <c:pt idx="9">
                  <c:v>05 August 2024</c:v>
                </c:pt>
                <c:pt idx="10">
                  <c:v>12 August 2024</c:v>
                </c:pt>
                <c:pt idx="11">
                  <c:v>19 August 2024</c:v>
                </c:pt>
                <c:pt idx="12">
                  <c:v>26 August 2024</c:v>
                </c:pt>
                <c:pt idx="13">
                  <c:v>02 September 2024</c:v>
                </c:pt>
                <c:pt idx="14">
                  <c:v>09 September 2024</c:v>
                </c:pt>
                <c:pt idx="15">
                  <c:v>16 September 2024</c:v>
                </c:pt>
                <c:pt idx="16">
                  <c:v>23 September 2024</c:v>
                </c:pt>
                <c:pt idx="17">
                  <c:v>30 September 2024</c:v>
                </c:pt>
                <c:pt idx="18">
                  <c:v>07 October 2024</c:v>
                </c:pt>
                <c:pt idx="19">
                  <c:v>14 October 2024</c:v>
                </c:pt>
                <c:pt idx="20">
                  <c:v>21 October 2024</c:v>
                </c:pt>
                <c:pt idx="21">
                  <c:v>28 October 2024</c:v>
                </c:pt>
                <c:pt idx="22">
                  <c:v>04 November 2024</c:v>
                </c:pt>
                <c:pt idx="23">
                  <c:v>11 November 2024</c:v>
                </c:pt>
                <c:pt idx="24">
                  <c:v>18 November 2024</c:v>
                </c:pt>
                <c:pt idx="25">
                  <c:v>25 November 2024</c:v>
                </c:pt>
                <c:pt idx="26">
                  <c:v>02 December 2024</c:v>
                </c:pt>
                <c:pt idx="27">
                  <c:v>09 December 2024</c:v>
                </c:pt>
                <c:pt idx="28">
                  <c:v>16 December 2024</c:v>
                </c:pt>
                <c:pt idx="29">
                  <c:v>23 December 2024</c:v>
                </c:pt>
                <c:pt idx="30">
                  <c:v>30 December 2024</c:v>
                </c:pt>
                <c:pt idx="31">
                  <c:v>06 January 2025</c:v>
                </c:pt>
                <c:pt idx="32">
                  <c:v>13 January 2025</c:v>
                </c:pt>
                <c:pt idx="33">
                  <c:v>20 January 2025</c:v>
                </c:pt>
                <c:pt idx="34">
                  <c:v>27 January 2025</c:v>
                </c:pt>
                <c:pt idx="35">
                  <c:v>03 February 2025</c:v>
                </c:pt>
                <c:pt idx="36">
                  <c:v>10 February 2025</c:v>
                </c:pt>
                <c:pt idx="37">
                  <c:v>17 February 2025</c:v>
                </c:pt>
                <c:pt idx="38">
                  <c:v>24 February 2025</c:v>
                </c:pt>
                <c:pt idx="39">
                  <c:v>03 March 2025</c:v>
                </c:pt>
                <c:pt idx="40">
                  <c:v>10 March 2025</c:v>
                </c:pt>
                <c:pt idx="41">
                  <c:v>17 March 2025</c:v>
                </c:pt>
                <c:pt idx="42">
                  <c:v>24 March 2025</c:v>
                </c:pt>
                <c:pt idx="43">
                  <c:v>31 March 2025</c:v>
                </c:pt>
                <c:pt idx="44">
                  <c:v>07 April 2025</c:v>
                </c:pt>
                <c:pt idx="45">
                  <c:v>14 April 2025</c:v>
                </c:pt>
                <c:pt idx="46">
                  <c:v>21 April 2025</c:v>
                </c:pt>
                <c:pt idx="47">
                  <c:v>28 April 2025</c:v>
                </c:pt>
                <c:pt idx="48">
                  <c:v>05 May 2025</c:v>
                </c:pt>
                <c:pt idx="49">
                  <c:v>12 May 2025</c:v>
                </c:pt>
                <c:pt idx="50">
                  <c:v>Grand Total</c:v>
                </c:pt>
              </c:strCache>
            </c:strRef>
          </c:cat>
          <c:val>
            <c:numRef>
              <c:f>Calculation!$H$3:$H$53</c:f>
              <c:numCache>
                <c:formatCode>General</c:formatCode>
                <c:ptCount val="51"/>
                <c:pt idx="0">
                  <c:v>-294927</c:v>
                </c:pt>
                <c:pt idx="1">
                  <c:v>407789</c:v>
                </c:pt>
                <c:pt idx="2">
                  <c:v>-421282</c:v>
                </c:pt>
                <c:pt idx="3">
                  <c:v>383783</c:v>
                </c:pt>
                <c:pt idx="4">
                  <c:v>-361224</c:v>
                </c:pt>
                <c:pt idx="5">
                  <c:v>95946</c:v>
                </c:pt>
                <c:pt idx="6">
                  <c:v>319643</c:v>
                </c:pt>
                <c:pt idx="7">
                  <c:v>-450148</c:v>
                </c:pt>
                <c:pt idx="8">
                  <c:v>414304</c:v>
                </c:pt>
                <c:pt idx="9">
                  <c:v>51220</c:v>
                </c:pt>
                <c:pt idx="10">
                  <c:v>-163744</c:v>
                </c:pt>
                <c:pt idx="11">
                  <c:v>128355</c:v>
                </c:pt>
                <c:pt idx="12">
                  <c:v>-352467</c:v>
                </c:pt>
                <c:pt idx="13">
                  <c:v>276722</c:v>
                </c:pt>
                <c:pt idx="14">
                  <c:v>-327261</c:v>
                </c:pt>
                <c:pt idx="15">
                  <c:v>371832</c:v>
                </c:pt>
                <c:pt idx="16">
                  <c:v>-52356</c:v>
                </c:pt>
                <c:pt idx="17">
                  <c:v>-183086</c:v>
                </c:pt>
                <c:pt idx="18">
                  <c:v>201372</c:v>
                </c:pt>
                <c:pt idx="19">
                  <c:v>-31466</c:v>
                </c:pt>
                <c:pt idx="20">
                  <c:v>-10567</c:v>
                </c:pt>
                <c:pt idx="21">
                  <c:v>-291587</c:v>
                </c:pt>
                <c:pt idx="22">
                  <c:v>-3540</c:v>
                </c:pt>
                <c:pt idx="23">
                  <c:v>-308</c:v>
                </c:pt>
                <c:pt idx="24">
                  <c:v>231379</c:v>
                </c:pt>
                <c:pt idx="25">
                  <c:v>139491</c:v>
                </c:pt>
                <c:pt idx="26">
                  <c:v>-201341</c:v>
                </c:pt>
                <c:pt idx="27">
                  <c:v>244937</c:v>
                </c:pt>
                <c:pt idx="28">
                  <c:v>-184758</c:v>
                </c:pt>
                <c:pt idx="29">
                  <c:v>-139991</c:v>
                </c:pt>
                <c:pt idx="30">
                  <c:v>325578</c:v>
                </c:pt>
                <c:pt idx="31">
                  <c:v>-116969</c:v>
                </c:pt>
                <c:pt idx="32">
                  <c:v>34268</c:v>
                </c:pt>
                <c:pt idx="33">
                  <c:v>-26416</c:v>
                </c:pt>
                <c:pt idx="34">
                  <c:v>-5709</c:v>
                </c:pt>
                <c:pt idx="35">
                  <c:v>-129430</c:v>
                </c:pt>
                <c:pt idx="36">
                  <c:v>231117</c:v>
                </c:pt>
                <c:pt idx="37">
                  <c:v>-326719</c:v>
                </c:pt>
                <c:pt idx="38">
                  <c:v>131055</c:v>
                </c:pt>
                <c:pt idx="39">
                  <c:v>204563</c:v>
                </c:pt>
                <c:pt idx="40">
                  <c:v>-51812</c:v>
                </c:pt>
                <c:pt idx="41">
                  <c:v>-45520</c:v>
                </c:pt>
                <c:pt idx="42">
                  <c:v>-82030</c:v>
                </c:pt>
                <c:pt idx="43">
                  <c:v>-203991</c:v>
                </c:pt>
                <c:pt idx="44">
                  <c:v>-12107</c:v>
                </c:pt>
                <c:pt idx="45">
                  <c:v>-3740</c:v>
                </c:pt>
                <c:pt idx="46">
                  <c:v>383002</c:v>
                </c:pt>
                <c:pt idx="47">
                  <c:v>1958</c:v>
                </c:pt>
                <c:pt idx="48">
                  <c:v>20399</c:v>
                </c:pt>
                <c:pt idx="49">
                  <c:v>20887</c:v>
                </c:pt>
                <c:pt idx="50">
                  <c:v>-489188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282-48E8-8F09-EE51B621FC82}"/>
            </c:ext>
          </c:extLst>
        </c:ser>
        <c:ser>
          <c:idx val="5"/>
          <c:order val="5"/>
          <c:tx>
            <c:strRef>
              <c:f>Calculation!$I$2</c:f>
              <c:strCache>
                <c:ptCount val="1"/>
                <c:pt idx="0">
                  <c:v>Twitter growth</c:v>
                </c:pt>
              </c:strCache>
            </c:strRef>
          </c:tx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Calculation!$A$3:$A$53</c:f>
              <c:strCache>
                <c:ptCount val="51"/>
                <c:pt idx="0">
                  <c:v>03 June 2024</c:v>
                </c:pt>
                <c:pt idx="1">
                  <c:v>10 June 2024</c:v>
                </c:pt>
                <c:pt idx="2">
                  <c:v>17 June 2024</c:v>
                </c:pt>
                <c:pt idx="3">
                  <c:v>24 June 2024</c:v>
                </c:pt>
                <c:pt idx="4">
                  <c:v>01 July 2024</c:v>
                </c:pt>
                <c:pt idx="5">
                  <c:v>08 July 2024</c:v>
                </c:pt>
                <c:pt idx="6">
                  <c:v>15 July 2024</c:v>
                </c:pt>
                <c:pt idx="7">
                  <c:v>22 July 2024</c:v>
                </c:pt>
                <c:pt idx="8">
                  <c:v>29 July 2024</c:v>
                </c:pt>
                <c:pt idx="9">
                  <c:v>05 August 2024</c:v>
                </c:pt>
                <c:pt idx="10">
                  <c:v>12 August 2024</c:v>
                </c:pt>
                <c:pt idx="11">
                  <c:v>19 August 2024</c:v>
                </c:pt>
                <c:pt idx="12">
                  <c:v>26 August 2024</c:v>
                </c:pt>
                <c:pt idx="13">
                  <c:v>02 September 2024</c:v>
                </c:pt>
                <c:pt idx="14">
                  <c:v>09 September 2024</c:v>
                </c:pt>
                <c:pt idx="15">
                  <c:v>16 September 2024</c:v>
                </c:pt>
                <c:pt idx="16">
                  <c:v>23 September 2024</c:v>
                </c:pt>
                <c:pt idx="17">
                  <c:v>30 September 2024</c:v>
                </c:pt>
                <c:pt idx="18">
                  <c:v>07 October 2024</c:v>
                </c:pt>
                <c:pt idx="19">
                  <c:v>14 October 2024</c:v>
                </c:pt>
                <c:pt idx="20">
                  <c:v>21 October 2024</c:v>
                </c:pt>
                <c:pt idx="21">
                  <c:v>28 October 2024</c:v>
                </c:pt>
                <c:pt idx="22">
                  <c:v>04 November 2024</c:v>
                </c:pt>
                <c:pt idx="23">
                  <c:v>11 November 2024</c:v>
                </c:pt>
                <c:pt idx="24">
                  <c:v>18 November 2024</c:v>
                </c:pt>
                <c:pt idx="25">
                  <c:v>25 November 2024</c:v>
                </c:pt>
                <c:pt idx="26">
                  <c:v>02 December 2024</c:v>
                </c:pt>
                <c:pt idx="27">
                  <c:v>09 December 2024</c:v>
                </c:pt>
                <c:pt idx="28">
                  <c:v>16 December 2024</c:v>
                </c:pt>
                <c:pt idx="29">
                  <c:v>23 December 2024</c:v>
                </c:pt>
                <c:pt idx="30">
                  <c:v>30 December 2024</c:v>
                </c:pt>
                <c:pt idx="31">
                  <c:v>06 January 2025</c:v>
                </c:pt>
                <c:pt idx="32">
                  <c:v>13 January 2025</c:v>
                </c:pt>
                <c:pt idx="33">
                  <c:v>20 January 2025</c:v>
                </c:pt>
                <c:pt idx="34">
                  <c:v>27 January 2025</c:v>
                </c:pt>
                <c:pt idx="35">
                  <c:v>03 February 2025</c:v>
                </c:pt>
                <c:pt idx="36">
                  <c:v>10 February 2025</c:v>
                </c:pt>
                <c:pt idx="37">
                  <c:v>17 February 2025</c:v>
                </c:pt>
                <c:pt idx="38">
                  <c:v>24 February 2025</c:v>
                </c:pt>
                <c:pt idx="39">
                  <c:v>03 March 2025</c:v>
                </c:pt>
                <c:pt idx="40">
                  <c:v>10 March 2025</c:v>
                </c:pt>
                <c:pt idx="41">
                  <c:v>17 March 2025</c:v>
                </c:pt>
                <c:pt idx="42">
                  <c:v>24 March 2025</c:v>
                </c:pt>
                <c:pt idx="43">
                  <c:v>31 March 2025</c:v>
                </c:pt>
                <c:pt idx="44">
                  <c:v>07 April 2025</c:v>
                </c:pt>
                <c:pt idx="45">
                  <c:v>14 April 2025</c:v>
                </c:pt>
                <c:pt idx="46">
                  <c:v>21 April 2025</c:v>
                </c:pt>
                <c:pt idx="47">
                  <c:v>28 April 2025</c:v>
                </c:pt>
                <c:pt idx="48">
                  <c:v>05 May 2025</c:v>
                </c:pt>
                <c:pt idx="49">
                  <c:v>12 May 2025</c:v>
                </c:pt>
                <c:pt idx="50">
                  <c:v>Grand Total</c:v>
                </c:pt>
              </c:strCache>
            </c:strRef>
          </c:cat>
          <c:val>
            <c:numRef>
              <c:f>Calculation!$I$3:$I$53</c:f>
              <c:numCache>
                <c:formatCode>General</c:formatCode>
                <c:ptCount val="51"/>
                <c:pt idx="0">
                  <c:v>107513</c:v>
                </c:pt>
                <c:pt idx="1">
                  <c:v>-131615</c:v>
                </c:pt>
                <c:pt idx="2">
                  <c:v>175689</c:v>
                </c:pt>
                <c:pt idx="3">
                  <c:v>16884</c:v>
                </c:pt>
                <c:pt idx="4">
                  <c:v>74505</c:v>
                </c:pt>
                <c:pt idx="5">
                  <c:v>-163808</c:v>
                </c:pt>
                <c:pt idx="6">
                  <c:v>-27724</c:v>
                </c:pt>
                <c:pt idx="7">
                  <c:v>89296</c:v>
                </c:pt>
                <c:pt idx="8">
                  <c:v>162420</c:v>
                </c:pt>
                <c:pt idx="9">
                  <c:v>-15111</c:v>
                </c:pt>
                <c:pt idx="10">
                  <c:v>-246228</c:v>
                </c:pt>
                <c:pt idx="11">
                  <c:v>-2201</c:v>
                </c:pt>
                <c:pt idx="12">
                  <c:v>132325</c:v>
                </c:pt>
                <c:pt idx="13">
                  <c:v>115268</c:v>
                </c:pt>
                <c:pt idx="14">
                  <c:v>-41692</c:v>
                </c:pt>
                <c:pt idx="15">
                  <c:v>-123839</c:v>
                </c:pt>
                <c:pt idx="16">
                  <c:v>-203610</c:v>
                </c:pt>
                <c:pt idx="17">
                  <c:v>411580</c:v>
                </c:pt>
                <c:pt idx="18">
                  <c:v>-166714</c:v>
                </c:pt>
                <c:pt idx="19">
                  <c:v>-51485</c:v>
                </c:pt>
                <c:pt idx="20">
                  <c:v>-17737</c:v>
                </c:pt>
                <c:pt idx="21">
                  <c:v>198530</c:v>
                </c:pt>
                <c:pt idx="22">
                  <c:v>-351775</c:v>
                </c:pt>
                <c:pt idx="23">
                  <c:v>400218</c:v>
                </c:pt>
                <c:pt idx="24">
                  <c:v>-399068</c:v>
                </c:pt>
                <c:pt idx="25">
                  <c:v>221449</c:v>
                </c:pt>
                <c:pt idx="26">
                  <c:v>-289297</c:v>
                </c:pt>
                <c:pt idx="27">
                  <c:v>306576</c:v>
                </c:pt>
                <c:pt idx="28">
                  <c:v>-246064</c:v>
                </c:pt>
                <c:pt idx="29">
                  <c:v>193712</c:v>
                </c:pt>
                <c:pt idx="30">
                  <c:v>96325</c:v>
                </c:pt>
                <c:pt idx="31">
                  <c:v>116740</c:v>
                </c:pt>
                <c:pt idx="32">
                  <c:v>-363492</c:v>
                </c:pt>
                <c:pt idx="33">
                  <c:v>138165</c:v>
                </c:pt>
                <c:pt idx="34">
                  <c:v>-85015</c:v>
                </c:pt>
                <c:pt idx="35">
                  <c:v>-50972</c:v>
                </c:pt>
                <c:pt idx="36">
                  <c:v>19026</c:v>
                </c:pt>
                <c:pt idx="37">
                  <c:v>171399</c:v>
                </c:pt>
                <c:pt idx="38">
                  <c:v>149568</c:v>
                </c:pt>
                <c:pt idx="39">
                  <c:v>-454104</c:v>
                </c:pt>
                <c:pt idx="40">
                  <c:v>-24</c:v>
                </c:pt>
                <c:pt idx="41">
                  <c:v>198643</c:v>
                </c:pt>
                <c:pt idx="42">
                  <c:v>-12740</c:v>
                </c:pt>
                <c:pt idx="43">
                  <c:v>-168761</c:v>
                </c:pt>
                <c:pt idx="44">
                  <c:v>112918</c:v>
                </c:pt>
                <c:pt idx="45">
                  <c:v>191344</c:v>
                </c:pt>
                <c:pt idx="46">
                  <c:v>153438</c:v>
                </c:pt>
                <c:pt idx="47">
                  <c:v>-2925</c:v>
                </c:pt>
                <c:pt idx="48">
                  <c:v>-28066</c:v>
                </c:pt>
                <c:pt idx="49">
                  <c:v>31598</c:v>
                </c:pt>
                <c:pt idx="50">
                  <c:v>-487896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282-48E8-8F09-EE51B621FC82}"/>
            </c:ext>
          </c:extLst>
        </c:ser>
        <c:ser>
          <c:idx val="6"/>
          <c:order val="6"/>
          <c:tx>
            <c:strRef>
              <c:f>Calculation!$J$2</c:f>
              <c:strCache>
                <c:ptCount val="1"/>
                <c:pt idx="0">
                  <c:v>Youtube Growth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</a:ln>
            <a:effectLst>
              <a:glow rad="139700">
                <a:schemeClr val="accent1">
                  <a:lumMod val="60000"/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Calculation!$A$3:$A$53</c:f>
              <c:strCache>
                <c:ptCount val="51"/>
                <c:pt idx="0">
                  <c:v>03 June 2024</c:v>
                </c:pt>
                <c:pt idx="1">
                  <c:v>10 June 2024</c:v>
                </c:pt>
                <c:pt idx="2">
                  <c:v>17 June 2024</c:v>
                </c:pt>
                <c:pt idx="3">
                  <c:v>24 June 2024</c:v>
                </c:pt>
                <c:pt idx="4">
                  <c:v>01 July 2024</c:v>
                </c:pt>
                <c:pt idx="5">
                  <c:v>08 July 2024</c:v>
                </c:pt>
                <c:pt idx="6">
                  <c:v>15 July 2024</c:v>
                </c:pt>
                <c:pt idx="7">
                  <c:v>22 July 2024</c:v>
                </c:pt>
                <c:pt idx="8">
                  <c:v>29 July 2024</c:v>
                </c:pt>
                <c:pt idx="9">
                  <c:v>05 August 2024</c:v>
                </c:pt>
                <c:pt idx="10">
                  <c:v>12 August 2024</c:v>
                </c:pt>
                <c:pt idx="11">
                  <c:v>19 August 2024</c:v>
                </c:pt>
                <c:pt idx="12">
                  <c:v>26 August 2024</c:v>
                </c:pt>
                <c:pt idx="13">
                  <c:v>02 September 2024</c:v>
                </c:pt>
                <c:pt idx="14">
                  <c:v>09 September 2024</c:v>
                </c:pt>
                <c:pt idx="15">
                  <c:v>16 September 2024</c:v>
                </c:pt>
                <c:pt idx="16">
                  <c:v>23 September 2024</c:v>
                </c:pt>
                <c:pt idx="17">
                  <c:v>30 September 2024</c:v>
                </c:pt>
                <c:pt idx="18">
                  <c:v>07 October 2024</c:v>
                </c:pt>
                <c:pt idx="19">
                  <c:v>14 October 2024</c:v>
                </c:pt>
                <c:pt idx="20">
                  <c:v>21 October 2024</c:v>
                </c:pt>
                <c:pt idx="21">
                  <c:v>28 October 2024</c:v>
                </c:pt>
                <c:pt idx="22">
                  <c:v>04 November 2024</c:v>
                </c:pt>
                <c:pt idx="23">
                  <c:v>11 November 2024</c:v>
                </c:pt>
                <c:pt idx="24">
                  <c:v>18 November 2024</c:v>
                </c:pt>
                <c:pt idx="25">
                  <c:v>25 November 2024</c:v>
                </c:pt>
                <c:pt idx="26">
                  <c:v>02 December 2024</c:v>
                </c:pt>
                <c:pt idx="27">
                  <c:v>09 December 2024</c:v>
                </c:pt>
                <c:pt idx="28">
                  <c:v>16 December 2024</c:v>
                </c:pt>
                <c:pt idx="29">
                  <c:v>23 December 2024</c:v>
                </c:pt>
                <c:pt idx="30">
                  <c:v>30 December 2024</c:v>
                </c:pt>
                <c:pt idx="31">
                  <c:v>06 January 2025</c:v>
                </c:pt>
                <c:pt idx="32">
                  <c:v>13 January 2025</c:v>
                </c:pt>
                <c:pt idx="33">
                  <c:v>20 January 2025</c:v>
                </c:pt>
                <c:pt idx="34">
                  <c:v>27 January 2025</c:v>
                </c:pt>
                <c:pt idx="35">
                  <c:v>03 February 2025</c:v>
                </c:pt>
                <c:pt idx="36">
                  <c:v>10 February 2025</c:v>
                </c:pt>
                <c:pt idx="37">
                  <c:v>17 February 2025</c:v>
                </c:pt>
                <c:pt idx="38">
                  <c:v>24 February 2025</c:v>
                </c:pt>
                <c:pt idx="39">
                  <c:v>03 March 2025</c:v>
                </c:pt>
                <c:pt idx="40">
                  <c:v>10 March 2025</c:v>
                </c:pt>
                <c:pt idx="41">
                  <c:v>17 March 2025</c:v>
                </c:pt>
                <c:pt idx="42">
                  <c:v>24 March 2025</c:v>
                </c:pt>
                <c:pt idx="43">
                  <c:v>31 March 2025</c:v>
                </c:pt>
                <c:pt idx="44">
                  <c:v>07 April 2025</c:v>
                </c:pt>
                <c:pt idx="45">
                  <c:v>14 April 2025</c:v>
                </c:pt>
                <c:pt idx="46">
                  <c:v>21 April 2025</c:v>
                </c:pt>
                <c:pt idx="47">
                  <c:v>28 April 2025</c:v>
                </c:pt>
                <c:pt idx="48">
                  <c:v>05 May 2025</c:v>
                </c:pt>
                <c:pt idx="49">
                  <c:v>12 May 2025</c:v>
                </c:pt>
                <c:pt idx="50">
                  <c:v>Grand Total</c:v>
                </c:pt>
              </c:strCache>
            </c:strRef>
          </c:cat>
          <c:val>
            <c:numRef>
              <c:f>Calculation!$J$3:$J$53</c:f>
              <c:numCache>
                <c:formatCode>General</c:formatCode>
                <c:ptCount val="51"/>
                <c:pt idx="0">
                  <c:v>18342</c:v>
                </c:pt>
                <c:pt idx="1">
                  <c:v>-31027</c:v>
                </c:pt>
                <c:pt idx="2">
                  <c:v>43333</c:v>
                </c:pt>
                <c:pt idx="3">
                  <c:v>-312506</c:v>
                </c:pt>
                <c:pt idx="4">
                  <c:v>120016</c:v>
                </c:pt>
                <c:pt idx="5">
                  <c:v>-77011</c:v>
                </c:pt>
                <c:pt idx="6">
                  <c:v>149881</c:v>
                </c:pt>
                <c:pt idx="7">
                  <c:v>-244065</c:v>
                </c:pt>
                <c:pt idx="8">
                  <c:v>258151</c:v>
                </c:pt>
                <c:pt idx="9">
                  <c:v>-218608</c:v>
                </c:pt>
                <c:pt idx="10">
                  <c:v>-14599</c:v>
                </c:pt>
                <c:pt idx="11">
                  <c:v>151601</c:v>
                </c:pt>
                <c:pt idx="12">
                  <c:v>131927</c:v>
                </c:pt>
                <c:pt idx="13">
                  <c:v>-306388</c:v>
                </c:pt>
                <c:pt idx="14">
                  <c:v>55351</c:v>
                </c:pt>
                <c:pt idx="15">
                  <c:v>-56757</c:v>
                </c:pt>
                <c:pt idx="16">
                  <c:v>31183</c:v>
                </c:pt>
                <c:pt idx="17">
                  <c:v>23407</c:v>
                </c:pt>
                <c:pt idx="18">
                  <c:v>81411</c:v>
                </c:pt>
                <c:pt idx="19">
                  <c:v>57732</c:v>
                </c:pt>
                <c:pt idx="20">
                  <c:v>48917</c:v>
                </c:pt>
                <c:pt idx="21">
                  <c:v>-46883</c:v>
                </c:pt>
                <c:pt idx="22">
                  <c:v>-137853</c:v>
                </c:pt>
                <c:pt idx="23">
                  <c:v>180604</c:v>
                </c:pt>
                <c:pt idx="24">
                  <c:v>-239160</c:v>
                </c:pt>
                <c:pt idx="25">
                  <c:v>158739</c:v>
                </c:pt>
                <c:pt idx="26">
                  <c:v>230620</c:v>
                </c:pt>
                <c:pt idx="27">
                  <c:v>37007</c:v>
                </c:pt>
                <c:pt idx="28">
                  <c:v>-463724</c:v>
                </c:pt>
                <c:pt idx="29">
                  <c:v>111668</c:v>
                </c:pt>
                <c:pt idx="30">
                  <c:v>-41435</c:v>
                </c:pt>
                <c:pt idx="31">
                  <c:v>-80973</c:v>
                </c:pt>
                <c:pt idx="32">
                  <c:v>322512</c:v>
                </c:pt>
                <c:pt idx="33">
                  <c:v>124720</c:v>
                </c:pt>
                <c:pt idx="34">
                  <c:v>-190903</c:v>
                </c:pt>
                <c:pt idx="35">
                  <c:v>214514</c:v>
                </c:pt>
                <c:pt idx="36">
                  <c:v>-379300</c:v>
                </c:pt>
                <c:pt idx="37">
                  <c:v>358259</c:v>
                </c:pt>
                <c:pt idx="38">
                  <c:v>-239705</c:v>
                </c:pt>
                <c:pt idx="39">
                  <c:v>-126137</c:v>
                </c:pt>
                <c:pt idx="40">
                  <c:v>-81017</c:v>
                </c:pt>
                <c:pt idx="41">
                  <c:v>424551</c:v>
                </c:pt>
                <c:pt idx="42">
                  <c:v>-6205</c:v>
                </c:pt>
                <c:pt idx="43">
                  <c:v>-145372</c:v>
                </c:pt>
                <c:pt idx="44">
                  <c:v>79171</c:v>
                </c:pt>
                <c:pt idx="45">
                  <c:v>-98567</c:v>
                </c:pt>
                <c:pt idx="46">
                  <c:v>-259523</c:v>
                </c:pt>
                <c:pt idx="47">
                  <c:v>137042</c:v>
                </c:pt>
                <c:pt idx="48">
                  <c:v>-65919</c:v>
                </c:pt>
                <c:pt idx="49">
                  <c:v>406343</c:v>
                </c:pt>
                <c:pt idx="50">
                  <c:v>-488901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282-48E8-8F09-EE51B621FC82}"/>
            </c:ext>
          </c:extLst>
        </c:ser>
        <c:ser>
          <c:idx val="7"/>
          <c:order val="7"/>
          <c:tx>
            <c:strRef>
              <c:f>Calculation!$K$2</c:f>
              <c:strCache>
                <c:ptCount val="1"/>
                <c:pt idx="0">
                  <c:v>Face Book Peak Growth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</a:schemeClr>
              </a:solidFill>
            </a:ln>
            <a:effectLst>
              <a:glow rad="139700">
                <a:schemeClr val="accent2">
                  <a:lumMod val="60000"/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Calculation!$A$3:$A$53</c:f>
              <c:strCache>
                <c:ptCount val="51"/>
                <c:pt idx="0">
                  <c:v>03 June 2024</c:v>
                </c:pt>
                <c:pt idx="1">
                  <c:v>10 June 2024</c:v>
                </c:pt>
                <c:pt idx="2">
                  <c:v>17 June 2024</c:v>
                </c:pt>
                <c:pt idx="3">
                  <c:v>24 June 2024</c:v>
                </c:pt>
                <c:pt idx="4">
                  <c:v>01 July 2024</c:v>
                </c:pt>
                <c:pt idx="5">
                  <c:v>08 July 2024</c:v>
                </c:pt>
                <c:pt idx="6">
                  <c:v>15 July 2024</c:v>
                </c:pt>
                <c:pt idx="7">
                  <c:v>22 July 2024</c:v>
                </c:pt>
                <c:pt idx="8">
                  <c:v>29 July 2024</c:v>
                </c:pt>
                <c:pt idx="9">
                  <c:v>05 August 2024</c:v>
                </c:pt>
                <c:pt idx="10">
                  <c:v>12 August 2024</c:v>
                </c:pt>
                <c:pt idx="11">
                  <c:v>19 August 2024</c:v>
                </c:pt>
                <c:pt idx="12">
                  <c:v>26 August 2024</c:v>
                </c:pt>
                <c:pt idx="13">
                  <c:v>02 September 2024</c:v>
                </c:pt>
                <c:pt idx="14">
                  <c:v>09 September 2024</c:v>
                </c:pt>
                <c:pt idx="15">
                  <c:v>16 September 2024</c:v>
                </c:pt>
                <c:pt idx="16">
                  <c:v>23 September 2024</c:v>
                </c:pt>
                <c:pt idx="17">
                  <c:v>30 September 2024</c:v>
                </c:pt>
                <c:pt idx="18">
                  <c:v>07 October 2024</c:v>
                </c:pt>
                <c:pt idx="19">
                  <c:v>14 October 2024</c:v>
                </c:pt>
                <c:pt idx="20">
                  <c:v>21 October 2024</c:v>
                </c:pt>
                <c:pt idx="21">
                  <c:v>28 October 2024</c:v>
                </c:pt>
                <c:pt idx="22">
                  <c:v>04 November 2024</c:v>
                </c:pt>
                <c:pt idx="23">
                  <c:v>11 November 2024</c:v>
                </c:pt>
                <c:pt idx="24">
                  <c:v>18 November 2024</c:v>
                </c:pt>
                <c:pt idx="25">
                  <c:v>25 November 2024</c:v>
                </c:pt>
                <c:pt idx="26">
                  <c:v>02 December 2024</c:v>
                </c:pt>
                <c:pt idx="27">
                  <c:v>09 December 2024</c:v>
                </c:pt>
                <c:pt idx="28">
                  <c:v>16 December 2024</c:v>
                </c:pt>
                <c:pt idx="29">
                  <c:v>23 December 2024</c:v>
                </c:pt>
                <c:pt idx="30">
                  <c:v>30 December 2024</c:v>
                </c:pt>
                <c:pt idx="31">
                  <c:v>06 January 2025</c:v>
                </c:pt>
                <c:pt idx="32">
                  <c:v>13 January 2025</c:v>
                </c:pt>
                <c:pt idx="33">
                  <c:v>20 January 2025</c:v>
                </c:pt>
                <c:pt idx="34">
                  <c:v>27 January 2025</c:v>
                </c:pt>
                <c:pt idx="35">
                  <c:v>03 February 2025</c:v>
                </c:pt>
                <c:pt idx="36">
                  <c:v>10 February 2025</c:v>
                </c:pt>
                <c:pt idx="37">
                  <c:v>17 February 2025</c:v>
                </c:pt>
                <c:pt idx="38">
                  <c:v>24 February 2025</c:v>
                </c:pt>
                <c:pt idx="39">
                  <c:v>03 March 2025</c:v>
                </c:pt>
                <c:pt idx="40">
                  <c:v>10 March 2025</c:v>
                </c:pt>
                <c:pt idx="41">
                  <c:v>17 March 2025</c:v>
                </c:pt>
                <c:pt idx="42">
                  <c:v>24 March 2025</c:v>
                </c:pt>
                <c:pt idx="43">
                  <c:v>31 March 2025</c:v>
                </c:pt>
                <c:pt idx="44">
                  <c:v>07 April 2025</c:v>
                </c:pt>
                <c:pt idx="45">
                  <c:v>14 April 2025</c:v>
                </c:pt>
                <c:pt idx="46">
                  <c:v>21 April 2025</c:v>
                </c:pt>
                <c:pt idx="47">
                  <c:v>28 April 2025</c:v>
                </c:pt>
                <c:pt idx="48">
                  <c:v>05 May 2025</c:v>
                </c:pt>
                <c:pt idx="49">
                  <c:v>12 May 2025</c:v>
                </c:pt>
                <c:pt idx="50">
                  <c:v>Grand Total</c:v>
                </c:pt>
              </c:strCache>
            </c:strRef>
          </c:cat>
          <c:val>
            <c:numRef>
              <c:f>Calculation!$K$3:$K$54</c:f>
              <c:numCache>
                <c:formatCode>General</c:formatCode>
                <c:ptCount val="52"/>
                <c:pt idx="0">
                  <c:v>379973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282-48E8-8F09-EE51B621FC82}"/>
            </c:ext>
          </c:extLst>
        </c:ser>
        <c:ser>
          <c:idx val="8"/>
          <c:order val="8"/>
          <c:tx>
            <c:strRef>
              <c:f>Calculation!$L$2</c:f>
              <c:strCache>
                <c:ptCount val="1"/>
                <c:pt idx="0">
                  <c:v>Instagram Peak Growth</c:v>
                </c:pt>
              </c:strCache>
            </c:strRef>
          </c:tx>
          <c:spPr>
            <a:ln w="22225" cap="rnd">
              <a:solidFill>
                <a:schemeClr val="accent3">
                  <a:lumMod val="60000"/>
                </a:schemeClr>
              </a:solidFill>
            </a:ln>
            <a:effectLst>
              <a:glow rad="139700">
                <a:schemeClr val="accent3">
                  <a:lumMod val="60000"/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Calculation!$A$3:$A$53</c:f>
              <c:strCache>
                <c:ptCount val="51"/>
                <c:pt idx="0">
                  <c:v>03 June 2024</c:v>
                </c:pt>
                <c:pt idx="1">
                  <c:v>10 June 2024</c:v>
                </c:pt>
                <c:pt idx="2">
                  <c:v>17 June 2024</c:v>
                </c:pt>
                <c:pt idx="3">
                  <c:v>24 June 2024</c:v>
                </c:pt>
                <c:pt idx="4">
                  <c:v>01 July 2024</c:v>
                </c:pt>
                <c:pt idx="5">
                  <c:v>08 July 2024</c:v>
                </c:pt>
                <c:pt idx="6">
                  <c:v>15 July 2024</c:v>
                </c:pt>
                <c:pt idx="7">
                  <c:v>22 July 2024</c:v>
                </c:pt>
                <c:pt idx="8">
                  <c:v>29 July 2024</c:v>
                </c:pt>
                <c:pt idx="9">
                  <c:v>05 August 2024</c:v>
                </c:pt>
                <c:pt idx="10">
                  <c:v>12 August 2024</c:v>
                </c:pt>
                <c:pt idx="11">
                  <c:v>19 August 2024</c:v>
                </c:pt>
                <c:pt idx="12">
                  <c:v>26 August 2024</c:v>
                </c:pt>
                <c:pt idx="13">
                  <c:v>02 September 2024</c:v>
                </c:pt>
                <c:pt idx="14">
                  <c:v>09 September 2024</c:v>
                </c:pt>
                <c:pt idx="15">
                  <c:v>16 September 2024</c:v>
                </c:pt>
                <c:pt idx="16">
                  <c:v>23 September 2024</c:v>
                </c:pt>
                <c:pt idx="17">
                  <c:v>30 September 2024</c:v>
                </c:pt>
                <c:pt idx="18">
                  <c:v>07 October 2024</c:v>
                </c:pt>
                <c:pt idx="19">
                  <c:v>14 October 2024</c:v>
                </c:pt>
                <c:pt idx="20">
                  <c:v>21 October 2024</c:v>
                </c:pt>
                <c:pt idx="21">
                  <c:v>28 October 2024</c:v>
                </c:pt>
                <c:pt idx="22">
                  <c:v>04 November 2024</c:v>
                </c:pt>
                <c:pt idx="23">
                  <c:v>11 November 2024</c:v>
                </c:pt>
                <c:pt idx="24">
                  <c:v>18 November 2024</c:v>
                </c:pt>
                <c:pt idx="25">
                  <c:v>25 November 2024</c:v>
                </c:pt>
                <c:pt idx="26">
                  <c:v>02 December 2024</c:v>
                </c:pt>
                <c:pt idx="27">
                  <c:v>09 December 2024</c:v>
                </c:pt>
                <c:pt idx="28">
                  <c:v>16 December 2024</c:v>
                </c:pt>
                <c:pt idx="29">
                  <c:v>23 December 2024</c:v>
                </c:pt>
                <c:pt idx="30">
                  <c:v>30 December 2024</c:v>
                </c:pt>
                <c:pt idx="31">
                  <c:v>06 January 2025</c:v>
                </c:pt>
                <c:pt idx="32">
                  <c:v>13 January 2025</c:v>
                </c:pt>
                <c:pt idx="33">
                  <c:v>20 January 2025</c:v>
                </c:pt>
                <c:pt idx="34">
                  <c:v>27 January 2025</c:v>
                </c:pt>
                <c:pt idx="35">
                  <c:v>03 February 2025</c:v>
                </c:pt>
                <c:pt idx="36">
                  <c:v>10 February 2025</c:v>
                </c:pt>
                <c:pt idx="37">
                  <c:v>17 February 2025</c:v>
                </c:pt>
                <c:pt idx="38">
                  <c:v>24 February 2025</c:v>
                </c:pt>
                <c:pt idx="39">
                  <c:v>03 March 2025</c:v>
                </c:pt>
                <c:pt idx="40">
                  <c:v>10 March 2025</c:v>
                </c:pt>
                <c:pt idx="41">
                  <c:v>17 March 2025</c:v>
                </c:pt>
                <c:pt idx="42">
                  <c:v>24 March 2025</c:v>
                </c:pt>
                <c:pt idx="43">
                  <c:v>31 March 2025</c:v>
                </c:pt>
                <c:pt idx="44">
                  <c:v>07 April 2025</c:v>
                </c:pt>
                <c:pt idx="45">
                  <c:v>14 April 2025</c:v>
                </c:pt>
                <c:pt idx="46">
                  <c:v>21 April 2025</c:v>
                </c:pt>
                <c:pt idx="47">
                  <c:v>28 April 2025</c:v>
                </c:pt>
                <c:pt idx="48">
                  <c:v>05 May 2025</c:v>
                </c:pt>
                <c:pt idx="49">
                  <c:v>12 May 2025</c:v>
                </c:pt>
                <c:pt idx="50">
                  <c:v>Grand Total</c:v>
                </c:pt>
              </c:strCache>
            </c:strRef>
          </c:cat>
          <c:val>
            <c:numRef>
              <c:f>Calculation!$L$3:$L$53</c:f>
              <c:numCache>
                <c:formatCode>General</c:formatCode>
                <c:ptCount val="51"/>
                <c:pt idx="0">
                  <c:v>414304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282-48E8-8F09-EE51B621FC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5069103"/>
        <c:axId val="1325086383"/>
      </c:lineChart>
      <c:catAx>
        <c:axId val="132506910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Week_Start_Date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086383"/>
        <c:crosses val="autoZero"/>
        <c:auto val="1"/>
        <c:lblAlgn val="ctr"/>
        <c:lblOffset val="100"/>
        <c:noMultiLvlLbl val="0"/>
      </c:catAx>
      <c:valAx>
        <c:axId val="132508638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Weekly Growth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069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Peak week of follower gain.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Calculation!$K$2:$R$2</c:f>
              <c:strCache>
                <c:ptCount val="8"/>
                <c:pt idx="0">
                  <c:v>Face Book Peak Growth</c:v>
                </c:pt>
                <c:pt idx="1">
                  <c:v>Instagram Peak Growth</c:v>
                </c:pt>
                <c:pt idx="2">
                  <c:v>Twitter Peak Growth</c:v>
                </c:pt>
                <c:pt idx="3">
                  <c:v>Youtube Peak Growth</c:v>
                </c:pt>
                <c:pt idx="4">
                  <c:v>Face Book Peak Date</c:v>
                </c:pt>
                <c:pt idx="5">
                  <c:v>Instagram Peak Date</c:v>
                </c:pt>
                <c:pt idx="6">
                  <c:v>Twitter Peak Date</c:v>
                </c:pt>
                <c:pt idx="7">
                  <c:v>Youtube Peak Date</c:v>
                </c:pt>
              </c:strCache>
            </c:strRef>
          </c:cat>
          <c:val>
            <c:numRef>
              <c:f>Calculation!$K$3:$R$3</c:f>
              <c:numCache>
                <c:formatCode>General</c:formatCode>
                <c:ptCount val="8"/>
                <c:pt idx="0">
                  <c:v>379973</c:v>
                </c:pt>
                <c:pt idx="1">
                  <c:v>414304</c:v>
                </c:pt>
                <c:pt idx="2">
                  <c:v>411580</c:v>
                </c:pt>
                <c:pt idx="3">
                  <c:v>424551</c:v>
                </c:pt>
                <c:pt idx="4" formatCode="[$-F800]dddd\,\ mmmm\ dd\,\ yyyy">
                  <c:v>45635</c:v>
                </c:pt>
                <c:pt idx="5" formatCode="[$-F800]dddd\,\ mmmm\ dd\,\ yyyy">
                  <c:v>45502</c:v>
                </c:pt>
                <c:pt idx="6" formatCode="[$-F800]dddd\,\ mmmm\ dd\,\ yyyy">
                  <c:v>45565</c:v>
                </c:pt>
                <c:pt idx="7" formatCode="[$-F800]dddd\,\ mmmm\ dd\,\ yyyy">
                  <c:v>45733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77-470A-BCB6-B0016878BA4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1124879"/>
        <c:axId val="131120079"/>
      </c:barChart>
      <c:catAx>
        <c:axId val="131124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20079"/>
        <c:crosses val="autoZero"/>
        <c:auto val="1"/>
        <c:lblAlgn val="ctr"/>
        <c:lblOffset val="100"/>
        <c:noMultiLvlLbl val="0"/>
      </c:catAx>
      <c:valAx>
        <c:axId val="13112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24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Correlate Ad spend vs. follower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Pivot!$C$57</c:f>
              <c:strCache>
                <c:ptCount val="1"/>
                <c:pt idx="0">
                  <c:v>Total_Followers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multiLvlStrRef>
              <c:f>Pivot!$A$58:$B$257</c:f>
              <c:multiLvlStrCache>
                <c:ptCount val="200"/>
                <c:lvl>
                  <c:pt idx="0">
                    <c:v>Instagram</c:v>
                  </c:pt>
                  <c:pt idx="1">
                    <c:v>Facebook</c:v>
                  </c:pt>
                  <c:pt idx="2">
                    <c:v>Twitter</c:v>
                  </c:pt>
                  <c:pt idx="3">
                    <c:v>Youtube</c:v>
                  </c:pt>
                  <c:pt idx="4">
                    <c:v>Instagram</c:v>
                  </c:pt>
                  <c:pt idx="5">
                    <c:v>Facebook</c:v>
                  </c:pt>
                  <c:pt idx="6">
                    <c:v>Twitter</c:v>
                  </c:pt>
                  <c:pt idx="7">
                    <c:v>Youtube</c:v>
                  </c:pt>
                  <c:pt idx="8">
                    <c:v>Instagram</c:v>
                  </c:pt>
                  <c:pt idx="9">
                    <c:v>Facebook</c:v>
                  </c:pt>
                  <c:pt idx="10">
                    <c:v>Twitter</c:v>
                  </c:pt>
                  <c:pt idx="11">
                    <c:v>Youtube</c:v>
                  </c:pt>
                  <c:pt idx="12">
                    <c:v>Instagram</c:v>
                  </c:pt>
                  <c:pt idx="13">
                    <c:v>Facebook</c:v>
                  </c:pt>
                  <c:pt idx="14">
                    <c:v>Twitter</c:v>
                  </c:pt>
                  <c:pt idx="15">
                    <c:v>Youtube</c:v>
                  </c:pt>
                  <c:pt idx="16">
                    <c:v>Instagram</c:v>
                  </c:pt>
                  <c:pt idx="17">
                    <c:v>Facebook</c:v>
                  </c:pt>
                  <c:pt idx="18">
                    <c:v>Twitter</c:v>
                  </c:pt>
                  <c:pt idx="19">
                    <c:v>Youtube</c:v>
                  </c:pt>
                  <c:pt idx="20">
                    <c:v>Instagram</c:v>
                  </c:pt>
                  <c:pt idx="21">
                    <c:v>Facebook</c:v>
                  </c:pt>
                  <c:pt idx="22">
                    <c:v>Twitter</c:v>
                  </c:pt>
                  <c:pt idx="23">
                    <c:v>Youtube</c:v>
                  </c:pt>
                  <c:pt idx="24">
                    <c:v>Instagram</c:v>
                  </c:pt>
                  <c:pt idx="25">
                    <c:v>Facebook</c:v>
                  </c:pt>
                  <c:pt idx="26">
                    <c:v>Twitter</c:v>
                  </c:pt>
                  <c:pt idx="27">
                    <c:v>Youtube</c:v>
                  </c:pt>
                  <c:pt idx="28">
                    <c:v>Instagram</c:v>
                  </c:pt>
                  <c:pt idx="29">
                    <c:v>Facebook</c:v>
                  </c:pt>
                  <c:pt idx="30">
                    <c:v>Twitter</c:v>
                  </c:pt>
                  <c:pt idx="31">
                    <c:v>Youtube</c:v>
                  </c:pt>
                  <c:pt idx="32">
                    <c:v>Instagram</c:v>
                  </c:pt>
                  <c:pt idx="33">
                    <c:v>Facebook</c:v>
                  </c:pt>
                  <c:pt idx="34">
                    <c:v>Twitter</c:v>
                  </c:pt>
                  <c:pt idx="35">
                    <c:v>Youtube</c:v>
                  </c:pt>
                  <c:pt idx="36">
                    <c:v>Instagram</c:v>
                  </c:pt>
                  <c:pt idx="37">
                    <c:v>Facebook</c:v>
                  </c:pt>
                  <c:pt idx="38">
                    <c:v>Twitter</c:v>
                  </c:pt>
                  <c:pt idx="39">
                    <c:v>Youtube</c:v>
                  </c:pt>
                  <c:pt idx="40">
                    <c:v>Instagram</c:v>
                  </c:pt>
                  <c:pt idx="41">
                    <c:v>Facebook</c:v>
                  </c:pt>
                  <c:pt idx="42">
                    <c:v>Twitter</c:v>
                  </c:pt>
                  <c:pt idx="43">
                    <c:v>Youtube</c:v>
                  </c:pt>
                  <c:pt idx="44">
                    <c:v>Instagram</c:v>
                  </c:pt>
                  <c:pt idx="45">
                    <c:v>Facebook</c:v>
                  </c:pt>
                  <c:pt idx="46">
                    <c:v>Twitter</c:v>
                  </c:pt>
                  <c:pt idx="47">
                    <c:v>Youtube</c:v>
                  </c:pt>
                  <c:pt idx="48">
                    <c:v>Instagram</c:v>
                  </c:pt>
                  <c:pt idx="49">
                    <c:v>Facebook</c:v>
                  </c:pt>
                  <c:pt idx="50">
                    <c:v>Twitter</c:v>
                  </c:pt>
                  <c:pt idx="51">
                    <c:v>Youtube</c:v>
                  </c:pt>
                  <c:pt idx="52">
                    <c:v>Instagram</c:v>
                  </c:pt>
                  <c:pt idx="53">
                    <c:v>Facebook</c:v>
                  </c:pt>
                  <c:pt idx="54">
                    <c:v>Twitter</c:v>
                  </c:pt>
                  <c:pt idx="55">
                    <c:v>Youtube</c:v>
                  </c:pt>
                  <c:pt idx="56">
                    <c:v>Instagram</c:v>
                  </c:pt>
                  <c:pt idx="57">
                    <c:v>Facebook</c:v>
                  </c:pt>
                  <c:pt idx="58">
                    <c:v>Twitter</c:v>
                  </c:pt>
                  <c:pt idx="59">
                    <c:v>Youtube</c:v>
                  </c:pt>
                  <c:pt idx="60">
                    <c:v>Instagram</c:v>
                  </c:pt>
                  <c:pt idx="61">
                    <c:v>Facebook</c:v>
                  </c:pt>
                  <c:pt idx="62">
                    <c:v>Twitter</c:v>
                  </c:pt>
                  <c:pt idx="63">
                    <c:v>Youtube</c:v>
                  </c:pt>
                  <c:pt idx="64">
                    <c:v>Instagram</c:v>
                  </c:pt>
                  <c:pt idx="65">
                    <c:v>Facebook</c:v>
                  </c:pt>
                  <c:pt idx="66">
                    <c:v>Twitter</c:v>
                  </c:pt>
                  <c:pt idx="67">
                    <c:v>Youtube</c:v>
                  </c:pt>
                  <c:pt idx="68">
                    <c:v>Instagram</c:v>
                  </c:pt>
                  <c:pt idx="69">
                    <c:v>Facebook</c:v>
                  </c:pt>
                  <c:pt idx="70">
                    <c:v>Twitter</c:v>
                  </c:pt>
                  <c:pt idx="71">
                    <c:v>Youtube</c:v>
                  </c:pt>
                  <c:pt idx="72">
                    <c:v>Instagram</c:v>
                  </c:pt>
                  <c:pt idx="73">
                    <c:v>Facebook</c:v>
                  </c:pt>
                  <c:pt idx="74">
                    <c:v>Twitter</c:v>
                  </c:pt>
                  <c:pt idx="75">
                    <c:v>Youtube</c:v>
                  </c:pt>
                  <c:pt idx="76">
                    <c:v>Instagram</c:v>
                  </c:pt>
                  <c:pt idx="77">
                    <c:v>Facebook</c:v>
                  </c:pt>
                  <c:pt idx="78">
                    <c:v>Twitter</c:v>
                  </c:pt>
                  <c:pt idx="79">
                    <c:v>Youtube</c:v>
                  </c:pt>
                  <c:pt idx="80">
                    <c:v>Instagram</c:v>
                  </c:pt>
                  <c:pt idx="81">
                    <c:v>Facebook</c:v>
                  </c:pt>
                  <c:pt idx="82">
                    <c:v>Twitter</c:v>
                  </c:pt>
                  <c:pt idx="83">
                    <c:v>Youtube</c:v>
                  </c:pt>
                  <c:pt idx="84">
                    <c:v>Instagram</c:v>
                  </c:pt>
                  <c:pt idx="85">
                    <c:v>Facebook</c:v>
                  </c:pt>
                  <c:pt idx="86">
                    <c:v>Twitter</c:v>
                  </c:pt>
                  <c:pt idx="87">
                    <c:v>Youtube</c:v>
                  </c:pt>
                  <c:pt idx="88">
                    <c:v>Instagram</c:v>
                  </c:pt>
                  <c:pt idx="89">
                    <c:v>Facebook</c:v>
                  </c:pt>
                  <c:pt idx="90">
                    <c:v>Twitter</c:v>
                  </c:pt>
                  <c:pt idx="91">
                    <c:v>Youtube</c:v>
                  </c:pt>
                  <c:pt idx="92">
                    <c:v>Instagram</c:v>
                  </c:pt>
                  <c:pt idx="93">
                    <c:v>Facebook</c:v>
                  </c:pt>
                  <c:pt idx="94">
                    <c:v>Twitter</c:v>
                  </c:pt>
                  <c:pt idx="95">
                    <c:v>Youtube</c:v>
                  </c:pt>
                  <c:pt idx="96">
                    <c:v>Instagram</c:v>
                  </c:pt>
                  <c:pt idx="97">
                    <c:v>Facebook</c:v>
                  </c:pt>
                  <c:pt idx="98">
                    <c:v>Twitter</c:v>
                  </c:pt>
                  <c:pt idx="99">
                    <c:v>Youtube</c:v>
                  </c:pt>
                  <c:pt idx="100">
                    <c:v>Instagram</c:v>
                  </c:pt>
                  <c:pt idx="101">
                    <c:v>Facebook</c:v>
                  </c:pt>
                  <c:pt idx="102">
                    <c:v>Twitter</c:v>
                  </c:pt>
                  <c:pt idx="103">
                    <c:v>Youtube</c:v>
                  </c:pt>
                  <c:pt idx="104">
                    <c:v>Instagram</c:v>
                  </c:pt>
                  <c:pt idx="105">
                    <c:v>Facebook</c:v>
                  </c:pt>
                  <c:pt idx="106">
                    <c:v>Twitter</c:v>
                  </c:pt>
                  <c:pt idx="107">
                    <c:v>Youtube</c:v>
                  </c:pt>
                  <c:pt idx="108">
                    <c:v>Instagram</c:v>
                  </c:pt>
                  <c:pt idx="109">
                    <c:v>Facebook</c:v>
                  </c:pt>
                  <c:pt idx="110">
                    <c:v>Twitter</c:v>
                  </c:pt>
                  <c:pt idx="111">
                    <c:v>Youtube</c:v>
                  </c:pt>
                  <c:pt idx="112">
                    <c:v>Instagram</c:v>
                  </c:pt>
                  <c:pt idx="113">
                    <c:v>Facebook</c:v>
                  </c:pt>
                  <c:pt idx="114">
                    <c:v>Twitter</c:v>
                  </c:pt>
                  <c:pt idx="115">
                    <c:v>Youtube</c:v>
                  </c:pt>
                  <c:pt idx="116">
                    <c:v>Instagram</c:v>
                  </c:pt>
                  <c:pt idx="117">
                    <c:v>Facebook</c:v>
                  </c:pt>
                  <c:pt idx="118">
                    <c:v>Twitter</c:v>
                  </c:pt>
                  <c:pt idx="119">
                    <c:v>Youtube</c:v>
                  </c:pt>
                  <c:pt idx="120">
                    <c:v>Instagram</c:v>
                  </c:pt>
                  <c:pt idx="121">
                    <c:v>Facebook</c:v>
                  </c:pt>
                  <c:pt idx="122">
                    <c:v>Twitter</c:v>
                  </c:pt>
                  <c:pt idx="123">
                    <c:v>Youtube</c:v>
                  </c:pt>
                  <c:pt idx="124">
                    <c:v>Instagram</c:v>
                  </c:pt>
                  <c:pt idx="125">
                    <c:v>Facebook</c:v>
                  </c:pt>
                  <c:pt idx="126">
                    <c:v>Twitter</c:v>
                  </c:pt>
                  <c:pt idx="127">
                    <c:v>Youtube</c:v>
                  </c:pt>
                  <c:pt idx="128">
                    <c:v>Instagram</c:v>
                  </c:pt>
                  <c:pt idx="129">
                    <c:v>Facebook</c:v>
                  </c:pt>
                  <c:pt idx="130">
                    <c:v>Twitter</c:v>
                  </c:pt>
                  <c:pt idx="131">
                    <c:v>Youtube</c:v>
                  </c:pt>
                  <c:pt idx="132">
                    <c:v>Instagram</c:v>
                  </c:pt>
                  <c:pt idx="133">
                    <c:v>Facebook</c:v>
                  </c:pt>
                  <c:pt idx="134">
                    <c:v>Twitter</c:v>
                  </c:pt>
                  <c:pt idx="135">
                    <c:v>Youtube</c:v>
                  </c:pt>
                  <c:pt idx="136">
                    <c:v>Instagram</c:v>
                  </c:pt>
                  <c:pt idx="137">
                    <c:v>Facebook</c:v>
                  </c:pt>
                  <c:pt idx="138">
                    <c:v>Twitter</c:v>
                  </c:pt>
                  <c:pt idx="139">
                    <c:v>Youtube</c:v>
                  </c:pt>
                  <c:pt idx="140">
                    <c:v>Instagram</c:v>
                  </c:pt>
                  <c:pt idx="141">
                    <c:v>Facebook</c:v>
                  </c:pt>
                  <c:pt idx="142">
                    <c:v>Twitter</c:v>
                  </c:pt>
                  <c:pt idx="143">
                    <c:v>Youtube</c:v>
                  </c:pt>
                  <c:pt idx="144">
                    <c:v>Instagram</c:v>
                  </c:pt>
                  <c:pt idx="145">
                    <c:v>Facebook</c:v>
                  </c:pt>
                  <c:pt idx="146">
                    <c:v>Twitter</c:v>
                  </c:pt>
                  <c:pt idx="147">
                    <c:v>Youtube</c:v>
                  </c:pt>
                  <c:pt idx="148">
                    <c:v>Instagram</c:v>
                  </c:pt>
                  <c:pt idx="149">
                    <c:v>Facebook</c:v>
                  </c:pt>
                  <c:pt idx="150">
                    <c:v>Twitter</c:v>
                  </c:pt>
                  <c:pt idx="151">
                    <c:v>Youtube</c:v>
                  </c:pt>
                  <c:pt idx="152">
                    <c:v>Instagram</c:v>
                  </c:pt>
                  <c:pt idx="153">
                    <c:v>Facebook</c:v>
                  </c:pt>
                  <c:pt idx="154">
                    <c:v>Twitter</c:v>
                  </c:pt>
                  <c:pt idx="155">
                    <c:v>Youtube</c:v>
                  </c:pt>
                  <c:pt idx="156">
                    <c:v>Instagram</c:v>
                  </c:pt>
                  <c:pt idx="157">
                    <c:v>Facebook</c:v>
                  </c:pt>
                  <c:pt idx="158">
                    <c:v>Twitter</c:v>
                  </c:pt>
                  <c:pt idx="159">
                    <c:v>Youtube</c:v>
                  </c:pt>
                  <c:pt idx="160">
                    <c:v>Instagram</c:v>
                  </c:pt>
                  <c:pt idx="161">
                    <c:v>Facebook</c:v>
                  </c:pt>
                  <c:pt idx="162">
                    <c:v>Twitter</c:v>
                  </c:pt>
                  <c:pt idx="163">
                    <c:v>Youtube</c:v>
                  </c:pt>
                  <c:pt idx="164">
                    <c:v>Instagram</c:v>
                  </c:pt>
                  <c:pt idx="165">
                    <c:v>Facebook</c:v>
                  </c:pt>
                  <c:pt idx="166">
                    <c:v>Twitter</c:v>
                  </c:pt>
                  <c:pt idx="167">
                    <c:v>Youtube</c:v>
                  </c:pt>
                  <c:pt idx="168">
                    <c:v>Instagram</c:v>
                  </c:pt>
                  <c:pt idx="169">
                    <c:v>Facebook</c:v>
                  </c:pt>
                  <c:pt idx="170">
                    <c:v>Twitter</c:v>
                  </c:pt>
                  <c:pt idx="171">
                    <c:v>Youtube</c:v>
                  </c:pt>
                  <c:pt idx="172">
                    <c:v>Instagram</c:v>
                  </c:pt>
                  <c:pt idx="173">
                    <c:v>Facebook</c:v>
                  </c:pt>
                  <c:pt idx="174">
                    <c:v>Twitter</c:v>
                  </c:pt>
                  <c:pt idx="175">
                    <c:v>Youtube</c:v>
                  </c:pt>
                  <c:pt idx="176">
                    <c:v>Instagram</c:v>
                  </c:pt>
                  <c:pt idx="177">
                    <c:v>Facebook</c:v>
                  </c:pt>
                  <c:pt idx="178">
                    <c:v>Twitter</c:v>
                  </c:pt>
                  <c:pt idx="179">
                    <c:v>Youtube</c:v>
                  </c:pt>
                  <c:pt idx="180">
                    <c:v>Instagram</c:v>
                  </c:pt>
                  <c:pt idx="181">
                    <c:v>Facebook</c:v>
                  </c:pt>
                  <c:pt idx="182">
                    <c:v>Twitter</c:v>
                  </c:pt>
                  <c:pt idx="183">
                    <c:v>Youtube</c:v>
                  </c:pt>
                  <c:pt idx="184">
                    <c:v>Instagram</c:v>
                  </c:pt>
                  <c:pt idx="185">
                    <c:v>Facebook</c:v>
                  </c:pt>
                  <c:pt idx="186">
                    <c:v>Twitter</c:v>
                  </c:pt>
                  <c:pt idx="187">
                    <c:v>Youtube</c:v>
                  </c:pt>
                  <c:pt idx="188">
                    <c:v>Instagram</c:v>
                  </c:pt>
                  <c:pt idx="189">
                    <c:v>Facebook</c:v>
                  </c:pt>
                  <c:pt idx="190">
                    <c:v>Twitter</c:v>
                  </c:pt>
                  <c:pt idx="191">
                    <c:v>Youtube</c:v>
                  </c:pt>
                  <c:pt idx="192">
                    <c:v>Instagram</c:v>
                  </c:pt>
                  <c:pt idx="193">
                    <c:v>Facebook</c:v>
                  </c:pt>
                  <c:pt idx="194">
                    <c:v>Twitter</c:v>
                  </c:pt>
                  <c:pt idx="195">
                    <c:v>Youtube</c:v>
                  </c:pt>
                  <c:pt idx="196">
                    <c:v>Instagram</c:v>
                  </c:pt>
                  <c:pt idx="197">
                    <c:v>Facebook</c:v>
                  </c:pt>
                  <c:pt idx="198">
                    <c:v>Twitter</c:v>
                  </c:pt>
                  <c:pt idx="199">
                    <c:v>Youtube</c:v>
                  </c:pt>
                </c:lvl>
                <c:lvl>
                  <c:pt idx="0">
                    <c:v>03 June 2024</c:v>
                  </c:pt>
                  <c:pt idx="1">
                    <c:v>03 June 2024</c:v>
                  </c:pt>
                  <c:pt idx="2">
                    <c:v>03 June 2024</c:v>
                  </c:pt>
                  <c:pt idx="3">
                    <c:v>03 June 2024</c:v>
                  </c:pt>
                  <c:pt idx="4">
                    <c:v>10 June 2024</c:v>
                  </c:pt>
                  <c:pt idx="5">
                    <c:v>10 June 2024</c:v>
                  </c:pt>
                  <c:pt idx="6">
                    <c:v>10 June 2024</c:v>
                  </c:pt>
                  <c:pt idx="7">
                    <c:v>10 June 2024</c:v>
                  </c:pt>
                  <c:pt idx="8">
                    <c:v>17 June 2024</c:v>
                  </c:pt>
                  <c:pt idx="9">
                    <c:v>17 June 2024</c:v>
                  </c:pt>
                  <c:pt idx="10">
                    <c:v>17 June 2024</c:v>
                  </c:pt>
                  <c:pt idx="11">
                    <c:v>17 June 2024</c:v>
                  </c:pt>
                  <c:pt idx="12">
                    <c:v>24 June 2024</c:v>
                  </c:pt>
                  <c:pt idx="13">
                    <c:v>24 June 2024</c:v>
                  </c:pt>
                  <c:pt idx="14">
                    <c:v>24 June 2024</c:v>
                  </c:pt>
                  <c:pt idx="15">
                    <c:v>24 June 2024</c:v>
                  </c:pt>
                  <c:pt idx="16">
                    <c:v>01 July 2024</c:v>
                  </c:pt>
                  <c:pt idx="17">
                    <c:v>01 July 2024</c:v>
                  </c:pt>
                  <c:pt idx="18">
                    <c:v>01 July 2024</c:v>
                  </c:pt>
                  <c:pt idx="19">
                    <c:v>01 July 2024</c:v>
                  </c:pt>
                  <c:pt idx="20">
                    <c:v>08 July 2024</c:v>
                  </c:pt>
                  <c:pt idx="21">
                    <c:v>08 July 2024</c:v>
                  </c:pt>
                  <c:pt idx="22">
                    <c:v>08 July 2024</c:v>
                  </c:pt>
                  <c:pt idx="23">
                    <c:v>08 July 2024</c:v>
                  </c:pt>
                  <c:pt idx="24">
                    <c:v>15 July 2024</c:v>
                  </c:pt>
                  <c:pt idx="25">
                    <c:v>15 July 2024</c:v>
                  </c:pt>
                  <c:pt idx="26">
                    <c:v>15 July 2024</c:v>
                  </c:pt>
                  <c:pt idx="27">
                    <c:v>15 July 2024</c:v>
                  </c:pt>
                  <c:pt idx="28">
                    <c:v>22 July 2024</c:v>
                  </c:pt>
                  <c:pt idx="29">
                    <c:v>22 July 2024</c:v>
                  </c:pt>
                  <c:pt idx="30">
                    <c:v>22 July 2024</c:v>
                  </c:pt>
                  <c:pt idx="31">
                    <c:v>22 July 2024</c:v>
                  </c:pt>
                  <c:pt idx="32">
                    <c:v>29 July 2024</c:v>
                  </c:pt>
                  <c:pt idx="33">
                    <c:v>29 July 2024</c:v>
                  </c:pt>
                  <c:pt idx="34">
                    <c:v>29 July 2024</c:v>
                  </c:pt>
                  <c:pt idx="35">
                    <c:v>29 July 2024</c:v>
                  </c:pt>
                  <c:pt idx="36">
                    <c:v>05 August 2024</c:v>
                  </c:pt>
                  <c:pt idx="37">
                    <c:v>05 August 2024</c:v>
                  </c:pt>
                  <c:pt idx="38">
                    <c:v>05 August 2024</c:v>
                  </c:pt>
                  <c:pt idx="39">
                    <c:v>05 August 2024</c:v>
                  </c:pt>
                  <c:pt idx="40">
                    <c:v>12 August 2024</c:v>
                  </c:pt>
                  <c:pt idx="41">
                    <c:v>12 August 2024</c:v>
                  </c:pt>
                  <c:pt idx="42">
                    <c:v>12 August 2024</c:v>
                  </c:pt>
                  <c:pt idx="43">
                    <c:v>12 August 2024</c:v>
                  </c:pt>
                  <c:pt idx="44">
                    <c:v>19 August 2024</c:v>
                  </c:pt>
                  <c:pt idx="45">
                    <c:v>19 August 2024</c:v>
                  </c:pt>
                  <c:pt idx="46">
                    <c:v>19 August 2024</c:v>
                  </c:pt>
                  <c:pt idx="47">
                    <c:v>19 August 2024</c:v>
                  </c:pt>
                  <c:pt idx="48">
                    <c:v>26 August 2024</c:v>
                  </c:pt>
                  <c:pt idx="49">
                    <c:v>26 August 2024</c:v>
                  </c:pt>
                  <c:pt idx="50">
                    <c:v>26 August 2024</c:v>
                  </c:pt>
                  <c:pt idx="51">
                    <c:v>26 August 2024</c:v>
                  </c:pt>
                  <c:pt idx="52">
                    <c:v>02 September 2024</c:v>
                  </c:pt>
                  <c:pt idx="53">
                    <c:v>02 September 2024</c:v>
                  </c:pt>
                  <c:pt idx="54">
                    <c:v>02 September 2024</c:v>
                  </c:pt>
                  <c:pt idx="55">
                    <c:v>02 September 2024</c:v>
                  </c:pt>
                  <c:pt idx="56">
                    <c:v>09 September 2024</c:v>
                  </c:pt>
                  <c:pt idx="57">
                    <c:v>09 September 2024</c:v>
                  </c:pt>
                  <c:pt idx="58">
                    <c:v>09 September 2024</c:v>
                  </c:pt>
                  <c:pt idx="59">
                    <c:v>09 September 2024</c:v>
                  </c:pt>
                  <c:pt idx="60">
                    <c:v>16 September 2024</c:v>
                  </c:pt>
                  <c:pt idx="61">
                    <c:v>16 September 2024</c:v>
                  </c:pt>
                  <c:pt idx="62">
                    <c:v>16 September 2024</c:v>
                  </c:pt>
                  <c:pt idx="63">
                    <c:v>16 September 2024</c:v>
                  </c:pt>
                  <c:pt idx="64">
                    <c:v>23 September 2024</c:v>
                  </c:pt>
                  <c:pt idx="65">
                    <c:v>23 September 2024</c:v>
                  </c:pt>
                  <c:pt idx="66">
                    <c:v>23 September 2024</c:v>
                  </c:pt>
                  <c:pt idx="67">
                    <c:v>23 September 2024</c:v>
                  </c:pt>
                  <c:pt idx="68">
                    <c:v>30 September 2024</c:v>
                  </c:pt>
                  <c:pt idx="69">
                    <c:v>30 September 2024</c:v>
                  </c:pt>
                  <c:pt idx="70">
                    <c:v>30 September 2024</c:v>
                  </c:pt>
                  <c:pt idx="71">
                    <c:v>30 September 2024</c:v>
                  </c:pt>
                  <c:pt idx="72">
                    <c:v>07 October 2024</c:v>
                  </c:pt>
                  <c:pt idx="73">
                    <c:v>07 October 2024</c:v>
                  </c:pt>
                  <c:pt idx="74">
                    <c:v>07 October 2024</c:v>
                  </c:pt>
                  <c:pt idx="75">
                    <c:v>07 October 2024</c:v>
                  </c:pt>
                  <c:pt idx="76">
                    <c:v>14 October 2024</c:v>
                  </c:pt>
                  <c:pt idx="77">
                    <c:v>14 October 2024</c:v>
                  </c:pt>
                  <c:pt idx="78">
                    <c:v>14 October 2024</c:v>
                  </c:pt>
                  <c:pt idx="79">
                    <c:v>14 October 2024</c:v>
                  </c:pt>
                  <c:pt idx="80">
                    <c:v>21 October 2024</c:v>
                  </c:pt>
                  <c:pt idx="81">
                    <c:v>21 October 2024</c:v>
                  </c:pt>
                  <c:pt idx="82">
                    <c:v>21 October 2024</c:v>
                  </c:pt>
                  <c:pt idx="83">
                    <c:v>21 October 2024</c:v>
                  </c:pt>
                  <c:pt idx="84">
                    <c:v>28 October 2024</c:v>
                  </c:pt>
                  <c:pt idx="85">
                    <c:v>28 October 2024</c:v>
                  </c:pt>
                  <c:pt idx="86">
                    <c:v>28 October 2024</c:v>
                  </c:pt>
                  <c:pt idx="87">
                    <c:v>28 October 2024</c:v>
                  </c:pt>
                  <c:pt idx="88">
                    <c:v>04 November 2024</c:v>
                  </c:pt>
                  <c:pt idx="89">
                    <c:v>04 November 2024</c:v>
                  </c:pt>
                  <c:pt idx="90">
                    <c:v>04 November 2024</c:v>
                  </c:pt>
                  <c:pt idx="91">
                    <c:v>04 November 2024</c:v>
                  </c:pt>
                  <c:pt idx="92">
                    <c:v>11 November 2024</c:v>
                  </c:pt>
                  <c:pt idx="93">
                    <c:v>11 November 2024</c:v>
                  </c:pt>
                  <c:pt idx="94">
                    <c:v>11 November 2024</c:v>
                  </c:pt>
                  <c:pt idx="95">
                    <c:v>11 November 2024</c:v>
                  </c:pt>
                  <c:pt idx="96">
                    <c:v>18 November 2024</c:v>
                  </c:pt>
                  <c:pt idx="97">
                    <c:v>18 November 2024</c:v>
                  </c:pt>
                  <c:pt idx="98">
                    <c:v>18 November 2024</c:v>
                  </c:pt>
                  <c:pt idx="99">
                    <c:v>18 November 2024</c:v>
                  </c:pt>
                  <c:pt idx="100">
                    <c:v>25 November 2024</c:v>
                  </c:pt>
                  <c:pt idx="101">
                    <c:v>25 November 2024</c:v>
                  </c:pt>
                  <c:pt idx="102">
                    <c:v>25 November 2024</c:v>
                  </c:pt>
                  <c:pt idx="103">
                    <c:v>25 November 2024</c:v>
                  </c:pt>
                  <c:pt idx="104">
                    <c:v>02 December 2024</c:v>
                  </c:pt>
                  <c:pt idx="105">
                    <c:v>02 December 2024</c:v>
                  </c:pt>
                  <c:pt idx="106">
                    <c:v>02 December 2024</c:v>
                  </c:pt>
                  <c:pt idx="107">
                    <c:v>02 December 2024</c:v>
                  </c:pt>
                  <c:pt idx="108">
                    <c:v>09 December 2024</c:v>
                  </c:pt>
                  <c:pt idx="109">
                    <c:v>09 December 2024</c:v>
                  </c:pt>
                  <c:pt idx="110">
                    <c:v>09 December 2024</c:v>
                  </c:pt>
                  <c:pt idx="111">
                    <c:v>09 December 2024</c:v>
                  </c:pt>
                  <c:pt idx="112">
                    <c:v>16 December 2024</c:v>
                  </c:pt>
                  <c:pt idx="113">
                    <c:v>16 December 2024</c:v>
                  </c:pt>
                  <c:pt idx="114">
                    <c:v>16 December 2024</c:v>
                  </c:pt>
                  <c:pt idx="115">
                    <c:v>16 December 2024</c:v>
                  </c:pt>
                  <c:pt idx="116">
                    <c:v>23 December 2024</c:v>
                  </c:pt>
                  <c:pt idx="117">
                    <c:v>23 December 2024</c:v>
                  </c:pt>
                  <c:pt idx="118">
                    <c:v>23 December 2024</c:v>
                  </c:pt>
                  <c:pt idx="119">
                    <c:v>23 December 2024</c:v>
                  </c:pt>
                  <c:pt idx="120">
                    <c:v>30 December 2024</c:v>
                  </c:pt>
                  <c:pt idx="121">
                    <c:v>30 December 2024</c:v>
                  </c:pt>
                  <c:pt idx="122">
                    <c:v>30 December 2024</c:v>
                  </c:pt>
                  <c:pt idx="123">
                    <c:v>30 December 2024</c:v>
                  </c:pt>
                  <c:pt idx="124">
                    <c:v>06 January 2025</c:v>
                  </c:pt>
                  <c:pt idx="125">
                    <c:v>06 January 2025</c:v>
                  </c:pt>
                  <c:pt idx="126">
                    <c:v>06 January 2025</c:v>
                  </c:pt>
                  <c:pt idx="127">
                    <c:v>06 January 2025</c:v>
                  </c:pt>
                  <c:pt idx="128">
                    <c:v>13 January 2025</c:v>
                  </c:pt>
                  <c:pt idx="129">
                    <c:v>13 January 2025</c:v>
                  </c:pt>
                  <c:pt idx="130">
                    <c:v>13 January 2025</c:v>
                  </c:pt>
                  <c:pt idx="131">
                    <c:v>13 January 2025</c:v>
                  </c:pt>
                  <c:pt idx="132">
                    <c:v>20 January 2025</c:v>
                  </c:pt>
                  <c:pt idx="133">
                    <c:v>20 January 2025</c:v>
                  </c:pt>
                  <c:pt idx="134">
                    <c:v>20 January 2025</c:v>
                  </c:pt>
                  <c:pt idx="135">
                    <c:v>20 January 2025</c:v>
                  </c:pt>
                  <c:pt idx="136">
                    <c:v>27 January 2025</c:v>
                  </c:pt>
                  <c:pt idx="137">
                    <c:v>27 January 2025</c:v>
                  </c:pt>
                  <c:pt idx="138">
                    <c:v>27 January 2025</c:v>
                  </c:pt>
                  <c:pt idx="139">
                    <c:v>27 January 2025</c:v>
                  </c:pt>
                  <c:pt idx="140">
                    <c:v>03 February 2025</c:v>
                  </c:pt>
                  <c:pt idx="141">
                    <c:v>03 February 2025</c:v>
                  </c:pt>
                  <c:pt idx="142">
                    <c:v>03 February 2025</c:v>
                  </c:pt>
                  <c:pt idx="143">
                    <c:v>03 February 2025</c:v>
                  </c:pt>
                  <c:pt idx="144">
                    <c:v>10 February 2025</c:v>
                  </c:pt>
                  <c:pt idx="145">
                    <c:v>10 February 2025</c:v>
                  </c:pt>
                  <c:pt idx="146">
                    <c:v>10 February 2025</c:v>
                  </c:pt>
                  <c:pt idx="147">
                    <c:v>10 February 2025</c:v>
                  </c:pt>
                  <c:pt idx="148">
                    <c:v>17 February 2025</c:v>
                  </c:pt>
                  <c:pt idx="149">
                    <c:v>17 February 2025</c:v>
                  </c:pt>
                  <c:pt idx="150">
                    <c:v>17 February 2025</c:v>
                  </c:pt>
                  <c:pt idx="151">
                    <c:v>17 February 2025</c:v>
                  </c:pt>
                  <c:pt idx="152">
                    <c:v>24 February 2025</c:v>
                  </c:pt>
                  <c:pt idx="153">
                    <c:v>24 February 2025</c:v>
                  </c:pt>
                  <c:pt idx="154">
                    <c:v>24 February 2025</c:v>
                  </c:pt>
                  <c:pt idx="155">
                    <c:v>24 February 2025</c:v>
                  </c:pt>
                  <c:pt idx="156">
                    <c:v>03 March 2025</c:v>
                  </c:pt>
                  <c:pt idx="157">
                    <c:v>03 March 2025</c:v>
                  </c:pt>
                  <c:pt idx="158">
                    <c:v>03 March 2025</c:v>
                  </c:pt>
                  <c:pt idx="159">
                    <c:v>03 March 2025</c:v>
                  </c:pt>
                  <c:pt idx="160">
                    <c:v>10 March 2025</c:v>
                  </c:pt>
                  <c:pt idx="161">
                    <c:v>10 March 2025</c:v>
                  </c:pt>
                  <c:pt idx="162">
                    <c:v>10 March 2025</c:v>
                  </c:pt>
                  <c:pt idx="163">
                    <c:v>10 March 2025</c:v>
                  </c:pt>
                  <c:pt idx="164">
                    <c:v>17 March 2025</c:v>
                  </c:pt>
                  <c:pt idx="165">
                    <c:v>17 March 2025</c:v>
                  </c:pt>
                  <c:pt idx="166">
                    <c:v>17 March 2025</c:v>
                  </c:pt>
                  <c:pt idx="167">
                    <c:v>17 March 2025</c:v>
                  </c:pt>
                  <c:pt idx="168">
                    <c:v>24 March 2025</c:v>
                  </c:pt>
                  <c:pt idx="169">
                    <c:v>24 March 2025</c:v>
                  </c:pt>
                  <c:pt idx="170">
                    <c:v>24 March 2025</c:v>
                  </c:pt>
                  <c:pt idx="171">
                    <c:v>24 March 2025</c:v>
                  </c:pt>
                  <c:pt idx="172">
                    <c:v>31 March 2025</c:v>
                  </c:pt>
                  <c:pt idx="173">
                    <c:v>31 March 2025</c:v>
                  </c:pt>
                  <c:pt idx="174">
                    <c:v>31 March 2025</c:v>
                  </c:pt>
                  <c:pt idx="175">
                    <c:v>31 March 2025</c:v>
                  </c:pt>
                  <c:pt idx="176">
                    <c:v>07 April 2025</c:v>
                  </c:pt>
                  <c:pt idx="177">
                    <c:v>07 April 2025</c:v>
                  </c:pt>
                  <c:pt idx="178">
                    <c:v>07 April 2025</c:v>
                  </c:pt>
                  <c:pt idx="179">
                    <c:v>07 April 2025</c:v>
                  </c:pt>
                  <c:pt idx="180">
                    <c:v>14 April 2025</c:v>
                  </c:pt>
                  <c:pt idx="181">
                    <c:v>14 April 2025</c:v>
                  </c:pt>
                  <c:pt idx="182">
                    <c:v>14 April 2025</c:v>
                  </c:pt>
                  <c:pt idx="183">
                    <c:v>14 April 2025</c:v>
                  </c:pt>
                  <c:pt idx="184">
                    <c:v>21 April 2025</c:v>
                  </c:pt>
                  <c:pt idx="185">
                    <c:v>21 April 2025</c:v>
                  </c:pt>
                  <c:pt idx="186">
                    <c:v>21 April 2025</c:v>
                  </c:pt>
                  <c:pt idx="187">
                    <c:v>21 April 2025</c:v>
                  </c:pt>
                  <c:pt idx="188">
                    <c:v>28 April 2025</c:v>
                  </c:pt>
                  <c:pt idx="189">
                    <c:v>28 April 2025</c:v>
                  </c:pt>
                  <c:pt idx="190">
                    <c:v>28 April 2025</c:v>
                  </c:pt>
                  <c:pt idx="191">
                    <c:v>28 April 2025</c:v>
                  </c:pt>
                  <c:pt idx="192">
                    <c:v>05 May 2025</c:v>
                  </c:pt>
                  <c:pt idx="193">
                    <c:v>05 May 2025</c:v>
                  </c:pt>
                  <c:pt idx="194">
                    <c:v>05 May 2025</c:v>
                  </c:pt>
                  <c:pt idx="195">
                    <c:v>05 May 2025</c:v>
                  </c:pt>
                  <c:pt idx="196">
                    <c:v>12 May 2025</c:v>
                  </c:pt>
                  <c:pt idx="197">
                    <c:v>12 May 2025</c:v>
                  </c:pt>
                  <c:pt idx="198">
                    <c:v>12 May 2025</c:v>
                  </c:pt>
                  <c:pt idx="199">
                    <c:v>12 May 2025</c:v>
                  </c:pt>
                </c:lvl>
              </c:multiLvlStrCache>
            </c:multiLvlStrRef>
          </c:xVal>
          <c:yVal>
            <c:numRef>
              <c:f>Pivot!$C$58:$C$257</c:f>
              <c:numCache>
                <c:formatCode>General</c:formatCode>
                <c:ptCount val="200"/>
                <c:pt idx="0">
                  <c:v>344084</c:v>
                </c:pt>
                <c:pt idx="1">
                  <c:v>42654</c:v>
                </c:pt>
                <c:pt idx="2">
                  <c:v>146834</c:v>
                </c:pt>
                <c:pt idx="3">
                  <c:v>395536</c:v>
                </c:pt>
                <c:pt idx="4">
                  <c:v>49157</c:v>
                </c:pt>
                <c:pt idx="5">
                  <c:v>316555</c:v>
                </c:pt>
                <c:pt idx="6">
                  <c:v>254347</c:v>
                </c:pt>
                <c:pt idx="7">
                  <c:v>413878</c:v>
                </c:pt>
                <c:pt idx="8">
                  <c:v>456946</c:v>
                </c:pt>
                <c:pt idx="9">
                  <c:v>169496</c:v>
                </c:pt>
                <c:pt idx="10">
                  <c:v>122732</c:v>
                </c:pt>
                <c:pt idx="11">
                  <c:v>382851</c:v>
                </c:pt>
                <c:pt idx="12">
                  <c:v>35664</c:v>
                </c:pt>
                <c:pt idx="13">
                  <c:v>26295</c:v>
                </c:pt>
                <c:pt idx="14">
                  <c:v>298421</c:v>
                </c:pt>
                <c:pt idx="15">
                  <c:v>426184</c:v>
                </c:pt>
                <c:pt idx="16">
                  <c:v>419447</c:v>
                </c:pt>
                <c:pt idx="17">
                  <c:v>220020</c:v>
                </c:pt>
                <c:pt idx="18">
                  <c:v>315305</c:v>
                </c:pt>
                <c:pt idx="19">
                  <c:v>113678</c:v>
                </c:pt>
                <c:pt idx="20">
                  <c:v>58223</c:v>
                </c:pt>
                <c:pt idx="21">
                  <c:v>251694</c:v>
                </c:pt>
                <c:pt idx="22">
                  <c:v>389810</c:v>
                </c:pt>
                <c:pt idx="23">
                  <c:v>233694</c:v>
                </c:pt>
                <c:pt idx="24">
                  <c:v>154169</c:v>
                </c:pt>
                <c:pt idx="25">
                  <c:v>334626</c:v>
                </c:pt>
                <c:pt idx="26">
                  <c:v>226002</c:v>
                </c:pt>
                <c:pt idx="27">
                  <c:v>156683</c:v>
                </c:pt>
                <c:pt idx="28">
                  <c:v>473812</c:v>
                </c:pt>
                <c:pt idx="29">
                  <c:v>295032</c:v>
                </c:pt>
                <c:pt idx="30">
                  <c:v>198278</c:v>
                </c:pt>
                <c:pt idx="31">
                  <c:v>306564</c:v>
                </c:pt>
                <c:pt idx="32">
                  <c:v>23664</c:v>
                </c:pt>
                <c:pt idx="33">
                  <c:v>435034</c:v>
                </c:pt>
                <c:pt idx="34">
                  <c:v>287574</c:v>
                </c:pt>
                <c:pt idx="35">
                  <c:v>62499</c:v>
                </c:pt>
                <c:pt idx="36">
                  <c:v>437968</c:v>
                </c:pt>
                <c:pt idx="37">
                  <c:v>125034</c:v>
                </c:pt>
                <c:pt idx="38">
                  <c:v>449994</c:v>
                </c:pt>
                <c:pt idx="39">
                  <c:v>320650</c:v>
                </c:pt>
                <c:pt idx="40">
                  <c:v>489188</c:v>
                </c:pt>
                <c:pt idx="41">
                  <c:v>307612</c:v>
                </c:pt>
                <c:pt idx="42">
                  <c:v>434883</c:v>
                </c:pt>
                <c:pt idx="43">
                  <c:v>102042</c:v>
                </c:pt>
                <c:pt idx="44">
                  <c:v>325444</c:v>
                </c:pt>
                <c:pt idx="45">
                  <c:v>183924</c:v>
                </c:pt>
                <c:pt idx="46">
                  <c:v>188655</c:v>
                </c:pt>
                <c:pt idx="47">
                  <c:v>87443</c:v>
                </c:pt>
                <c:pt idx="48">
                  <c:v>453799</c:v>
                </c:pt>
                <c:pt idx="49">
                  <c:v>379380</c:v>
                </c:pt>
                <c:pt idx="50">
                  <c:v>186454</c:v>
                </c:pt>
                <c:pt idx="51">
                  <c:v>239044</c:v>
                </c:pt>
                <c:pt idx="52">
                  <c:v>101332</c:v>
                </c:pt>
                <c:pt idx="53">
                  <c:v>496982</c:v>
                </c:pt>
                <c:pt idx="54">
                  <c:v>318779</c:v>
                </c:pt>
                <c:pt idx="55">
                  <c:v>370971</c:v>
                </c:pt>
                <c:pt idx="56">
                  <c:v>378054</c:v>
                </c:pt>
                <c:pt idx="57">
                  <c:v>307524</c:v>
                </c:pt>
                <c:pt idx="58">
                  <c:v>434047</c:v>
                </c:pt>
                <c:pt idx="59">
                  <c:v>64583</c:v>
                </c:pt>
                <c:pt idx="60">
                  <c:v>50793</c:v>
                </c:pt>
                <c:pt idx="61">
                  <c:v>474162</c:v>
                </c:pt>
                <c:pt idx="62">
                  <c:v>392355</c:v>
                </c:pt>
                <c:pt idx="63">
                  <c:v>119934</c:v>
                </c:pt>
                <c:pt idx="64">
                  <c:v>422625</c:v>
                </c:pt>
                <c:pt idx="65">
                  <c:v>239753</c:v>
                </c:pt>
                <c:pt idx="66">
                  <c:v>268516</c:v>
                </c:pt>
                <c:pt idx="67">
                  <c:v>63177</c:v>
                </c:pt>
                <c:pt idx="68">
                  <c:v>370269</c:v>
                </c:pt>
                <c:pt idx="69">
                  <c:v>453423</c:v>
                </c:pt>
                <c:pt idx="70">
                  <c:v>64906</c:v>
                </c:pt>
                <c:pt idx="71">
                  <c:v>94360</c:v>
                </c:pt>
                <c:pt idx="72">
                  <c:v>187183</c:v>
                </c:pt>
                <c:pt idx="73">
                  <c:v>379363</c:v>
                </c:pt>
                <c:pt idx="74">
                  <c:v>476486</c:v>
                </c:pt>
                <c:pt idx="75">
                  <c:v>117767</c:v>
                </c:pt>
                <c:pt idx="76">
                  <c:v>388555</c:v>
                </c:pt>
                <c:pt idx="77">
                  <c:v>157599</c:v>
                </c:pt>
                <c:pt idx="78">
                  <c:v>309772</c:v>
                </c:pt>
                <c:pt idx="79">
                  <c:v>199178</c:v>
                </c:pt>
                <c:pt idx="80">
                  <c:v>357089</c:v>
                </c:pt>
                <c:pt idx="81">
                  <c:v>23492</c:v>
                </c:pt>
                <c:pt idx="82">
                  <c:v>258287</c:v>
                </c:pt>
                <c:pt idx="83">
                  <c:v>256910</c:v>
                </c:pt>
                <c:pt idx="84">
                  <c:v>346522</c:v>
                </c:pt>
                <c:pt idx="85">
                  <c:v>209987</c:v>
                </c:pt>
                <c:pt idx="86">
                  <c:v>240550</c:v>
                </c:pt>
                <c:pt idx="87">
                  <c:v>305827</c:v>
                </c:pt>
                <c:pt idx="88">
                  <c:v>54935</c:v>
                </c:pt>
                <c:pt idx="89">
                  <c:v>319186</c:v>
                </c:pt>
                <c:pt idx="90">
                  <c:v>439080</c:v>
                </c:pt>
                <c:pt idx="91">
                  <c:v>258944</c:v>
                </c:pt>
                <c:pt idx="92">
                  <c:v>51395</c:v>
                </c:pt>
                <c:pt idx="93">
                  <c:v>309483</c:v>
                </c:pt>
                <c:pt idx="94">
                  <c:v>87305</c:v>
                </c:pt>
                <c:pt idx="95">
                  <c:v>121091</c:v>
                </c:pt>
                <c:pt idx="96">
                  <c:v>51087</c:v>
                </c:pt>
                <c:pt idx="97">
                  <c:v>338847</c:v>
                </c:pt>
                <c:pt idx="98">
                  <c:v>487523</c:v>
                </c:pt>
                <c:pt idx="99">
                  <c:v>301695</c:v>
                </c:pt>
                <c:pt idx="100">
                  <c:v>282466</c:v>
                </c:pt>
                <c:pt idx="101">
                  <c:v>336661</c:v>
                </c:pt>
                <c:pt idx="102">
                  <c:v>88455</c:v>
                </c:pt>
                <c:pt idx="103">
                  <c:v>62535</c:v>
                </c:pt>
                <c:pt idx="104">
                  <c:v>421957</c:v>
                </c:pt>
                <c:pt idx="105">
                  <c:v>470269</c:v>
                </c:pt>
                <c:pt idx="106">
                  <c:v>309904</c:v>
                </c:pt>
                <c:pt idx="107">
                  <c:v>221274</c:v>
                </c:pt>
                <c:pt idx="108">
                  <c:v>220616</c:v>
                </c:pt>
                <c:pt idx="109">
                  <c:v>35842</c:v>
                </c:pt>
                <c:pt idx="110">
                  <c:v>20607</c:v>
                </c:pt>
                <c:pt idx="111">
                  <c:v>451894</c:v>
                </c:pt>
                <c:pt idx="112">
                  <c:v>465553</c:v>
                </c:pt>
                <c:pt idx="113">
                  <c:v>415815</c:v>
                </c:pt>
                <c:pt idx="114">
                  <c:v>327183</c:v>
                </c:pt>
                <c:pt idx="115">
                  <c:v>488901</c:v>
                </c:pt>
                <c:pt idx="116">
                  <c:v>280795</c:v>
                </c:pt>
                <c:pt idx="117">
                  <c:v>93347</c:v>
                </c:pt>
                <c:pt idx="118">
                  <c:v>81119</c:v>
                </c:pt>
                <c:pt idx="119">
                  <c:v>25177</c:v>
                </c:pt>
                <c:pt idx="120">
                  <c:v>140804</c:v>
                </c:pt>
                <c:pt idx="121">
                  <c:v>379431</c:v>
                </c:pt>
                <c:pt idx="122">
                  <c:v>274831</c:v>
                </c:pt>
                <c:pt idx="123">
                  <c:v>136845</c:v>
                </c:pt>
                <c:pt idx="124">
                  <c:v>466382</c:v>
                </c:pt>
                <c:pt idx="125">
                  <c:v>95728</c:v>
                </c:pt>
                <c:pt idx="126">
                  <c:v>371156</c:v>
                </c:pt>
                <c:pt idx="127">
                  <c:v>95410</c:v>
                </c:pt>
                <c:pt idx="128">
                  <c:v>349413</c:v>
                </c:pt>
                <c:pt idx="129">
                  <c:v>224699</c:v>
                </c:pt>
                <c:pt idx="130">
                  <c:v>487896</c:v>
                </c:pt>
                <c:pt idx="131">
                  <c:v>14437</c:v>
                </c:pt>
                <c:pt idx="132">
                  <c:v>383681</c:v>
                </c:pt>
                <c:pt idx="133">
                  <c:v>479490</c:v>
                </c:pt>
                <c:pt idx="134">
                  <c:v>124404</c:v>
                </c:pt>
                <c:pt idx="135">
                  <c:v>336949</c:v>
                </c:pt>
                <c:pt idx="136">
                  <c:v>357265</c:v>
                </c:pt>
                <c:pt idx="137">
                  <c:v>321307</c:v>
                </c:pt>
                <c:pt idx="138">
                  <c:v>262569</c:v>
                </c:pt>
                <c:pt idx="139">
                  <c:v>461669</c:v>
                </c:pt>
                <c:pt idx="140">
                  <c:v>351556</c:v>
                </c:pt>
                <c:pt idx="141">
                  <c:v>135987</c:v>
                </c:pt>
                <c:pt idx="142">
                  <c:v>177554</c:v>
                </c:pt>
                <c:pt idx="143">
                  <c:v>270766</c:v>
                </c:pt>
                <c:pt idx="144">
                  <c:v>222126</c:v>
                </c:pt>
                <c:pt idx="145">
                  <c:v>309914</c:v>
                </c:pt>
                <c:pt idx="146">
                  <c:v>126582</c:v>
                </c:pt>
                <c:pt idx="147">
                  <c:v>485280</c:v>
                </c:pt>
                <c:pt idx="148">
                  <c:v>453243</c:v>
                </c:pt>
                <c:pt idx="149">
                  <c:v>104967</c:v>
                </c:pt>
                <c:pt idx="150">
                  <c:v>145608</c:v>
                </c:pt>
                <c:pt idx="151">
                  <c:v>105980</c:v>
                </c:pt>
                <c:pt idx="152">
                  <c:v>126524</c:v>
                </c:pt>
                <c:pt idx="153">
                  <c:v>230448</c:v>
                </c:pt>
                <c:pt idx="154">
                  <c:v>317007</c:v>
                </c:pt>
                <c:pt idx="155">
                  <c:v>464239</c:v>
                </c:pt>
                <c:pt idx="156">
                  <c:v>257579</c:v>
                </c:pt>
                <c:pt idx="157">
                  <c:v>366881</c:v>
                </c:pt>
                <c:pt idx="158">
                  <c:v>466575</c:v>
                </c:pt>
                <c:pt idx="159">
                  <c:v>224534</c:v>
                </c:pt>
                <c:pt idx="160">
                  <c:v>462142</c:v>
                </c:pt>
                <c:pt idx="161">
                  <c:v>340842</c:v>
                </c:pt>
                <c:pt idx="162">
                  <c:v>12471</c:v>
                </c:pt>
                <c:pt idx="163">
                  <c:v>98397</c:v>
                </c:pt>
                <c:pt idx="164">
                  <c:v>410330</c:v>
                </c:pt>
                <c:pt idx="165">
                  <c:v>342129</c:v>
                </c:pt>
                <c:pt idx="166">
                  <c:v>12447</c:v>
                </c:pt>
                <c:pt idx="167">
                  <c:v>17380</c:v>
                </c:pt>
                <c:pt idx="168">
                  <c:v>364810</c:v>
                </c:pt>
                <c:pt idx="169">
                  <c:v>373606</c:v>
                </c:pt>
                <c:pt idx="170">
                  <c:v>211090</c:v>
                </c:pt>
                <c:pt idx="171">
                  <c:v>441931</c:v>
                </c:pt>
                <c:pt idx="172">
                  <c:v>282780</c:v>
                </c:pt>
                <c:pt idx="173">
                  <c:v>370070</c:v>
                </c:pt>
                <c:pt idx="174">
                  <c:v>198350</c:v>
                </c:pt>
                <c:pt idx="175">
                  <c:v>435726</c:v>
                </c:pt>
                <c:pt idx="176">
                  <c:v>78789</c:v>
                </c:pt>
                <c:pt idx="177">
                  <c:v>98596</c:v>
                </c:pt>
                <c:pt idx="178">
                  <c:v>29589</c:v>
                </c:pt>
                <c:pt idx="179">
                  <c:v>290354</c:v>
                </c:pt>
                <c:pt idx="180">
                  <c:v>66682</c:v>
                </c:pt>
                <c:pt idx="181">
                  <c:v>70707</c:v>
                </c:pt>
                <c:pt idx="182">
                  <c:v>142507</c:v>
                </c:pt>
                <c:pt idx="183">
                  <c:v>369525</c:v>
                </c:pt>
                <c:pt idx="184">
                  <c:v>62942</c:v>
                </c:pt>
                <c:pt idx="185">
                  <c:v>377382</c:v>
                </c:pt>
                <c:pt idx="186">
                  <c:v>333851</c:v>
                </c:pt>
                <c:pt idx="187">
                  <c:v>270958</c:v>
                </c:pt>
                <c:pt idx="188">
                  <c:v>445944</c:v>
                </c:pt>
                <c:pt idx="189">
                  <c:v>224830</c:v>
                </c:pt>
                <c:pt idx="190">
                  <c:v>487289</c:v>
                </c:pt>
                <c:pt idx="191">
                  <c:v>11435</c:v>
                </c:pt>
                <c:pt idx="192">
                  <c:v>447902</c:v>
                </c:pt>
                <c:pt idx="193">
                  <c:v>418696</c:v>
                </c:pt>
                <c:pt idx="194">
                  <c:v>484364</c:v>
                </c:pt>
                <c:pt idx="195">
                  <c:v>148477</c:v>
                </c:pt>
                <c:pt idx="196">
                  <c:v>468301</c:v>
                </c:pt>
                <c:pt idx="197">
                  <c:v>364820</c:v>
                </c:pt>
                <c:pt idx="198">
                  <c:v>456298</c:v>
                </c:pt>
                <c:pt idx="199">
                  <c:v>82558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26-4E48-9014-3FB1CEA6F98A}"/>
            </c:ext>
          </c:extLst>
        </c:ser>
        <c:ser>
          <c:idx val="1"/>
          <c:order val="1"/>
          <c:tx>
            <c:strRef>
              <c:f>Pivot!$D$57</c:f>
              <c:strCache>
                <c:ptCount val="1"/>
                <c:pt idx="0">
                  <c:v>Ad_Spend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2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ash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multiLvlStrRef>
              <c:f>Pivot!$A$58:$B$257</c:f>
              <c:multiLvlStrCache>
                <c:ptCount val="200"/>
                <c:lvl>
                  <c:pt idx="0">
                    <c:v>Instagram</c:v>
                  </c:pt>
                  <c:pt idx="1">
                    <c:v>Facebook</c:v>
                  </c:pt>
                  <c:pt idx="2">
                    <c:v>Twitter</c:v>
                  </c:pt>
                  <c:pt idx="3">
                    <c:v>Youtube</c:v>
                  </c:pt>
                  <c:pt idx="4">
                    <c:v>Instagram</c:v>
                  </c:pt>
                  <c:pt idx="5">
                    <c:v>Facebook</c:v>
                  </c:pt>
                  <c:pt idx="6">
                    <c:v>Twitter</c:v>
                  </c:pt>
                  <c:pt idx="7">
                    <c:v>Youtube</c:v>
                  </c:pt>
                  <c:pt idx="8">
                    <c:v>Instagram</c:v>
                  </c:pt>
                  <c:pt idx="9">
                    <c:v>Facebook</c:v>
                  </c:pt>
                  <c:pt idx="10">
                    <c:v>Twitter</c:v>
                  </c:pt>
                  <c:pt idx="11">
                    <c:v>Youtube</c:v>
                  </c:pt>
                  <c:pt idx="12">
                    <c:v>Instagram</c:v>
                  </c:pt>
                  <c:pt idx="13">
                    <c:v>Facebook</c:v>
                  </c:pt>
                  <c:pt idx="14">
                    <c:v>Twitter</c:v>
                  </c:pt>
                  <c:pt idx="15">
                    <c:v>Youtube</c:v>
                  </c:pt>
                  <c:pt idx="16">
                    <c:v>Instagram</c:v>
                  </c:pt>
                  <c:pt idx="17">
                    <c:v>Facebook</c:v>
                  </c:pt>
                  <c:pt idx="18">
                    <c:v>Twitter</c:v>
                  </c:pt>
                  <c:pt idx="19">
                    <c:v>Youtube</c:v>
                  </c:pt>
                  <c:pt idx="20">
                    <c:v>Instagram</c:v>
                  </c:pt>
                  <c:pt idx="21">
                    <c:v>Facebook</c:v>
                  </c:pt>
                  <c:pt idx="22">
                    <c:v>Twitter</c:v>
                  </c:pt>
                  <c:pt idx="23">
                    <c:v>Youtube</c:v>
                  </c:pt>
                  <c:pt idx="24">
                    <c:v>Instagram</c:v>
                  </c:pt>
                  <c:pt idx="25">
                    <c:v>Facebook</c:v>
                  </c:pt>
                  <c:pt idx="26">
                    <c:v>Twitter</c:v>
                  </c:pt>
                  <c:pt idx="27">
                    <c:v>Youtube</c:v>
                  </c:pt>
                  <c:pt idx="28">
                    <c:v>Instagram</c:v>
                  </c:pt>
                  <c:pt idx="29">
                    <c:v>Facebook</c:v>
                  </c:pt>
                  <c:pt idx="30">
                    <c:v>Twitter</c:v>
                  </c:pt>
                  <c:pt idx="31">
                    <c:v>Youtube</c:v>
                  </c:pt>
                  <c:pt idx="32">
                    <c:v>Instagram</c:v>
                  </c:pt>
                  <c:pt idx="33">
                    <c:v>Facebook</c:v>
                  </c:pt>
                  <c:pt idx="34">
                    <c:v>Twitter</c:v>
                  </c:pt>
                  <c:pt idx="35">
                    <c:v>Youtube</c:v>
                  </c:pt>
                  <c:pt idx="36">
                    <c:v>Instagram</c:v>
                  </c:pt>
                  <c:pt idx="37">
                    <c:v>Facebook</c:v>
                  </c:pt>
                  <c:pt idx="38">
                    <c:v>Twitter</c:v>
                  </c:pt>
                  <c:pt idx="39">
                    <c:v>Youtube</c:v>
                  </c:pt>
                  <c:pt idx="40">
                    <c:v>Instagram</c:v>
                  </c:pt>
                  <c:pt idx="41">
                    <c:v>Facebook</c:v>
                  </c:pt>
                  <c:pt idx="42">
                    <c:v>Twitter</c:v>
                  </c:pt>
                  <c:pt idx="43">
                    <c:v>Youtube</c:v>
                  </c:pt>
                  <c:pt idx="44">
                    <c:v>Instagram</c:v>
                  </c:pt>
                  <c:pt idx="45">
                    <c:v>Facebook</c:v>
                  </c:pt>
                  <c:pt idx="46">
                    <c:v>Twitter</c:v>
                  </c:pt>
                  <c:pt idx="47">
                    <c:v>Youtube</c:v>
                  </c:pt>
                  <c:pt idx="48">
                    <c:v>Instagram</c:v>
                  </c:pt>
                  <c:pt idx="49">
                    <c:v>Facebook</c:v>
                  </c:pt>
                  <c:pt idx="50">
                    <c:v>Twitter</c:v>
                  </c:pt>
                  <c:pt idx="51">
                    <c:v>Youtube</c:v>
                  </c:pt>
                  <c:pt idx="52">
                    <c:v>Instagram</c:v>
                  </c:pt>
                  <c:pt idx="53">
                    <c:v>Facebook</c:v>
                  </c:pt>
                  <c:pt idx="54">
                    <c:v>Twitter</c:v>
                  </c:pt>
                  <c:pt idx="55">
                    <c:v>Youtube</c:v>
                  </c:pt>
                  <c:pt idx="56">
                    <c:v>Instagram</c:v>
                  </c:pt>
                  <c:pt idx="57">
                    <c:v>Facebook</c:v>
                  </c:pt>
                  <c:pt idx="58">
                    <c:v>Twitter</c:v>
                  </c:pt>
                  <c:pt idx="59">
                    <c:v>Youtube</c:v>
                  </c:pt>
                  <c:pt idx="60">
                    <c:v>Instagram</c:v>
                  </c:pt>
                  <c:pt idx="61">
                    <c:v>Facebook</c:v>
                  </c:pt>
                  <c:pt idx="62">
                    <c:v>Twitter</c:v>
                  </c:pt>
                  <c:pt idx="63">
                    <c:v>Youtube</c:v>
                  </c:pt>
                  <c:pt idx="64">
                    <c:v>Instagram</c:v>
                  </c:pt>
                  <c:pt idx="65">
                    <c:v>Facebook</c:v>
                  </c:pt>
                  <c:pt idx="66">
                    <c:v>Twitter</c:v>
                  </c:pt>
                  <c:pt idx="67">
                    <c:v>Youtube</c:v>
                  </c:pt>
                  <c:pt idx="68">
                    <c:v>Instagram</c:v>
                  </c:pt>
                  <c:pt idx="69">
                    <c:v>Facebook</c:v>
                  </c:pt>
                  <c:pt idx="70">
                    <c:v>Twitter</c:v>
                  </c:pt>
                  <c:pt idx="71">
                    <c:v>Youtube</c:v>
                  </c:pt>
                  <c:pt idx="72">
                    <c:v>Instagram</c:v>
                  </c:pt>
                  <c:pt idx="73">
                    <c:v>Facebook</c:v>
                  </c:pt>
                  <c:pt idx="74">
                    <c:v>Twitter</c:v>
                  </c:pt>
                  <c:pt idx="75">
                    <c:v>Youtube</c:v>
                  </c:pt>
                  <c:pt idx="76">
                    <c:v>Instagram</c:v>
                  </c:pt>
                  <c:pt idx="77">
                    <c:v>Facebook</c:v>
                  </c:pt>
                  <c:pt idx="78">
                    <c:v>Twitter</c:v>
                  </c:pt>
                  <c:pt idx="79">
                    <c:v>Youtube</c:v>
                  </c:pt>
                  <c:pt idx="80">
                    <c:v>Instagram</c:v>
                  </c:pt>
                  <c:pt idx="81">
                    <c:v>Facebook</c:v>
                  </c:pt>
                  <c:pt idx="82">
                    <c:v>Twitter</c:v>
                  </c:pt>
                  <c:pt idx="83">
                    <c:v>Youtube</c:v>
                  </c:pt>
                  <c:pt idx="84">
                    <c:v>Instagram</c:v>
                  </c:pt>
                  <c:pt idx="85">
                    <c:v>Facebook</c:v>
                  </c:pt>
                  <c:pt idx="86">
                    <c:v>Twitter</c:v>
                  </c:pt>
                  <c:pt idx="87">
                    <c:v>Youtube</c:v>
                  </c:pt>
                  <c:pt idx="88">
                    <c:v>Instagram</c:v>
                  </c:pt>
                  <c:pt idx="89">
                    <c:v>Facebook</c:v>
                  </c:pt>
                  <c:pt idx="90">
                    <c:v>Twitter</c:v>
                  </c:pt>
                  <c:pt idx="91">
                    <c:v>Youtube</c:v>
                  </c:pt>
                  <c:pt idx="92">
                    <c:v>Instagram</c:v>
                  </c:pt>
                  <c:pt idx="93">
                    <c:v>Facebook</c:v>
                  </c:pt>
                  <c:pt idx="94">
                    <c:v>Twitter</c:v>
                  </c:pt>
                  <c:pt idx="95">
                    <c:v>Youtube</c:v>
                  </c:pt>
                  <c:pt idx="96">
                    <c:v>Instagram</c:v>
                  </c:pt>
                  <c:pt idx="97">
                    <c:v>Facebook</c:v>
                  </c:pt>
                  <c:pt idx="98">
                    <c:v>Twitter</c:v>
                  </c:pt>
                  <c:pt idx="99">
                    <c:v>Youtube</c:v>
                  </c:pt>
                  <c:pt idx="100">
                    <c:v>Instagram</c:v>
                  </c:pt>
                  <c:pt idx="101">
                    <c:v>Facebook</c:v>
                  </c:pt>
                  <c:pt idx="102">
                    <c:v>Twitter</c:v>
                  </c:pt>
                  <c:pt idx="103">
                    <c:v>Youtube</c:v>
                  </c:pt>
                  <c:pt idx="104">
                    <c:v>Instagram</c:v>
                  </c:pt>
                  <c:pt idx="105">
                    <c:v>Facebook</c:v>
                  </c:pt>
                  <c:pt idx="106">
                    <c:v>Twitter</c:v>
                  </c:pt>
                  <c:pt idx="107">
                    <c:v>Youtube</c:v>
                  </c:pt>
                  <c:pt idx="108">
                    <c:v>Instagram</c:v>
                  </c:pt>
                  <c:pt idx="109">
                    <c:v>Facebook</c:v>
                  </c:pt>
                  <c:pt idx="110">
                    <c:v>Twitter</c:v>
                  </c:pt>
                  <c:pt idx="111">
                    <c:v>Youtube</c:v>
                  </c:pt>
                  <c:pt idx="112">
                    <c:v>Instagram</c:v>
                  </c:pt>
                  <c:pt idx="113">
                    <c:v>Facebook</c:v>
                  </c:pt>
                  <c:pt idx="114">
                    <c:v>Twitter</c:v>
                  </c:pt>
                  <c:pt idx="115">
                    <c:v>Youtube</c:v>
                  </c:pt>
                  <c:pt idx="116">
                    <c:v>Instagram</c:v>
                  </c:pt>
                  <c:pt idx="117">
                    <c:v>Facebook</c:v>
                  </c:pt>
                  <c:pt idx="118">
                    <c:v>Twitter</c:v>
                  </c:pt>
                  <c:pt idx="119">
                    <c:v>Youtube</c:v>
                  </c:pt>
                  <c:pt idx="120">
                    <c:v>Instagram</c:v>
                  </c:pt>
                  <c:pt idx="121">
                    <c:v>Facebook</c:v>
                  </c:pt>
                  <c:pt idx="122">
                    <c:v>Twitter</c:v>
                  </c:pt>
                  <c:pt idx="123">
                    <c:v>Youtube</c:v>
                  </c:pt>
                  <c:pt idx="124">
                    <c:v>Instagram</c:v>
                  </c:pt>
                  <c:pt idx="125">
                    <c:v>Facebook</c:v>
                  </c:pt>
                  <c:pt idx="126">
                    <c:v>Twitter</c:v>
                  </c:pt>
                  <c:pt idx="127">
                    <c:v>Youtube</c:v>
                  </c:pt>
                  <c:pt idx="128">
                    <c:v>Instagram</c:v>
                  </c:pt>
                  <c:pt idx="129">
                    <c:v>Facebook</c:v>
                  </c:pt>
                  <c:pt idx="130">
                    <c:v>Twitter</c:v>
                  </c:pt>
                  <c:pt idx="131">
                    <c:v>Youtube</c:v>
                  </c:pt>
                  <c:pt idx="132">
                    <c:v>Instagram</c:v>
                  </c:pt>
                  <c:pt idx="133">
                    <c:v>Facebook</c:v>
                  </c:pt>
                  <c:pt idx="134">
                    <c:v>Twitter</c:v>
                  </c:pt>
                  <c:pt idx="135">
                    <c:v>Youtube</c:v>
                  </c:pt>
                  <c:pt idx="136">
                    <c:v>Instagram</c:v>
                  </c:pt>
                  <c:pt idx="137">
                    <c:v>Facebook</c:v>
                  </c:pt>
                  <c:pt idx="138">
                    <c:v>Twitter</c:v>
                  </c:pt>
                  <c:pt idx="139">
                    <c:v>Youtube</c:v>
                  </c:pt>
                  <c:pt idx="140">
                    <c:v>Instagram</c:v>
                  </c:pt>
                  <c:pt idx="141">
                    <c:v>Facebook</c:v>
                  </c:pt>
                  <c:pt idx="142">
                    <c:v>Twitter</c:v>
                  </c:pt>
                  <c:pt idx="143">
                    <c:v>Youtube</c:v>
                  </c:pt>
                  <c:pt idx="144">
                    <c:v>Instagram</c:v>
                  </c:pt>
                  <c:pt idx="145">
                    <c:v>Facebook</c:v>
                  </c:pt>
                  <c:pt idx="146">
                    <c:v>Twitter</c:v>
                  </c:pt>
                  <c:pt idx="147">
                    <c:v>Youtube</c:v>
                  </c:pt>
                  <c:pt idx="148">
                    <c:v>Instagram</c:v>
                  </c:pt>
                  <c:pt idx="149">
                    <c:v>Facebook</c:v>
                  </c:pt>
                  <c:pt idx="150">
                    <c:v>Twitter</c:v>
                  </c:pt>
                  <c:pt idx="151">
                    <c:v>Youtube</c:v>
                  </c:pt>
                  <c:pt idx="152">
                    <c:v>Instagram</c:v>
                  </c:pt>
                  <c:pt idx="153">
                    <c:v>Facebook</c:v>
                  </c:pt>
                  <c:pt idx="154">
                    <c:v>Twitter</c:v>
                  </c:pt>
                  <c:pt idx="155">
                    <c:v>Youtube</c:v>
                  </c:pt>
                  <c:pt idx="156">
                    <c:v>Instagram</c:v>
                  </c:pt>
                  <c:pt idx="157">
                    <c:v>Facebook</c:v>
                  </c:pt>
                  <c:pt idx="158">
                    <c:v>Twitter</c:v>
                  </c:pt>
                  <c:pt idx="159">
                    <c:v>Youtube</c:v>
                  </c:pt>
                  <c:pt idx="160">
                    <c:v>Instagram</c:v>
                  </c:pt>
                  <c:pt idx="161">
                    <c:v>Facebook</c:v>
                  </c:pt>
                  <c:pt idx="162">
                    <c:v>Twitter</c:v>
                  </c:pt>
                  <c:pt idx="163">
                    <c:v>Youtube</c:v>
                  </c:pt>
                  <c:pt idx="164">
                    <c:v>Instagram</c:v>
                  </c:pt>
                  <c:pt idx="165">
                    <c:v>Facebook</c:v>
                  </c:pt>
                  <c:pt idx="166">
                    <c:v>Twitter</c:v>
                  </c:pt>
                  <c:pt idx="167">
                    <c:v>Youtube</c:v>
                  </c:pt>
                  <c:pt idx="168">
                    <c:v>Instagram</c:v>
                  </c:pt>
                  <c:pt idx="169">
                    <c:v>Facebook</c:v>
                  </c:pt>
                  <c:pt idx="170">
                    <c:v>Twitter</c:v>
                  </c:pt>
                  <c:pt idx="171">
                    <c:v>Youtube</c:v>
                  </c:pt>
                  <c:pt idx="172">
                    <c:v>Instagram</c:v>
                  </c:pt>
                  <c:pt idx="173">
                    <c:v>Facebook</c:v>
                  </c:pt>
                  <c:pt idx="174">
                    <c:v>Twitter</c:v>
                  </c:pt>
                  <c:pt idx="175">
                    <c:v>Youtube</c:v>
                  </c:pt>
                  <c:pt idx="176">
                    <c:v>Instagram</c:v>
                  </c:pt>
                  <c:pt idx="177">
                    <c:v>Facebook</c:v>
                  </c:pt>
                  <c:pt idx="178">
                    <c:v>Twitter</c:v>
                  </c:pt>
                  <c:pt idx="179">
                    <c:v>Youtube</c:v>
                  </c:pt>
                  <c:pt idx="180">
                    <c:v>Instagram</c:v>
                  </c:pt>
                  <c:pt idx="181">
                    <c:v>Facebook</c:v>
                  </c:pt>
                  <c:pt idx="182">
                    <c:v>Twitter</c:v>
                  </c:pt>
                  <c:pt idx="183">
                    <c:v>Youtube</c:v>
                  </c:pt>
                  <c:pt idx="184">
                    <c:v>Instagram</c:v>
                  </c:pt>
                  <c:pt idx="185">
                    <c:v>Facebook</c:v>
                  </c:pt>
                  <c:pt idx="186">
                    <c:v>Twitter</c:v>
                  </c:pt>
                  <c:pt idx="187">
                    <c:v>Youtube</c:v>
                  </c:pt>
                  <c:pt idx="188">
                    <c:v>Instagram</c:v>
                  </c:pt>
                  <c:pt idx="189">
                    <c:v>Facebook</c:v>
                  </c:pt>
                  <c:pt idx="190">
                    <c:v>Twitter</c:v>
                  </c:pt>
                  <c:pt idx="191">
                    <c:v>Youtube</c:v>
                  </c:pt>
                  <c:pt idx="192">
                    <c:v>Instagram</c:v>
                  </c:pt>
                  <c:pt idx="193">
                    <c:v>Facebook</c:v>
                  </c:pt>
                  <c:pt idx="194">
                    <c:v>Twitter</c:v>
                  </c:pt>
                  <c:pt idx="195">
                    <c:v>Youtube</c:v>
                  </c:pt>
                  <c:pt idx="196">
                    <c:v>Instagram</c:v>
                  </c:pt>
                  <c:pt idx="197">
                    <c:v>Facebook</c:v>
                  </c:pt>
                  <c:pt idx="198">
                    <c:v>Twitter</c:v>
                  </c:pt>
                  <c:pt idx="199">
                    <c:v>Youtube</c:v>
                  </c:pt>
                </c:lvl>
                <c:lvl>
                  <c:pt idx="0">
                    <c:v>03 June 2024</c:v>
                  </c:pt>
                  <c:pt idx="1">
                    <c:v>03 June 2024</c:v>
                  </c:pt>
                  <c:pt idx="2">
                    <c:v>03 June 2024</c:v>
                  </c:pt>
                  <c:pt idx="3">
                    <c:v>03 June 2024</c:v>
                  </c:pt>
                  <c:pt idx="4">
                    <c:v>10 June 2024</c:v>
                  </c:pt>
                  <c:pt idx="5">
                    <c:v>10 June 2024</c:v>
                  </c:pt>
                  <c:pt idx="6">
                    <c:v>10 June 2024</c:v>
                  </c:pt>
                  <c:pt idx="7">
                    <c:v>10 June 2024</c:v>
                  </c:pt>
                  <c:pt idx="8">
                    <c:v>17 June 2024</c:v>
                  </c:pt>
                  <c:pt idx="9">
                    <c:v>17 June 2024</c:v>
                  </c:pt>
                  <c:pt idx="10">
                    <c:v>17 June 2024</c:v>
                  </c:pt>
                  <c:pt idx="11">
                    <c:v>17 June 2024</c:v>
                  </c:pt>
                  <c:pt idx="12">
                    <c:v>24 June 2024</c:v>
                  </c:pt>
                  <c:pt idx="13">
                    <c:v>24 June 2024</c:v>
                  </c:pt>
                  <c:pt idx="14">
                    <c:v>24 June 2024</c:v>
                  </c:pt>
                  <c:pt idx="15">
                    <c:v>24 June 2024</c:v>
                  </c:pt>
                  <c:pt idx="16">
                    <c:v>01 July 2024</c:v>
                  </c:pt>
                  <c:pt idx="17">
                    <c:v>01 July 2024</c:v>
                  </c:pt>
                  <c:pt idx="18">
                    <c:v>01 July 2024</c:v>
                  </c:pt>
                  <c:pt idx="19">
                    <c:v>01 July 2024</c:v>
                  </c:pt>
                  <c:pt idx="20">
                    <c:v>08 July 2024</c:v>
                  </c:pt>
                  <c:pt idx="21">
                    <c:v>08 July 2024</c:v>
                  </c:pt>
                  <c:pt idx="22">
                    <c:v>08 July 2024</c:v>
                  </c:pt>
                  <c:pt idx="23">
                    <c:v>08 July 2024</c:v>
                  </c:pt>
                  <c:pt idx="24">
                    <c:v>15 July 2024</c:v>
                  </c:pt>
                  <c:pt idx="25">
                    <c:v>15 July 2024</c:v>
                  </c:pt>
                  <c:pt idx="26">
                    <c:v>15 July 2024</c:v>
                  </c:pt>
                  <c:pt idx="27">
                    <c:v>15 July 2024</c:v>
                  </c:pt>
                  <c:pt idx="28">
                    <c:v>22 July 2024</c:v>
                  </c:pt>
                  <c:pt idx="29">
                    <c:v>22 July 2024</c:v>
                  </c:pt>
                  <c:pt idx="30">
                    <c:v>22 July 2024</c:v>
                  </c:pt>
                  <c:pt idx="31">
                    <c:v>22 July 2024</c:v>
                  </c:pt>
                  <c:pt idx="32">
                    <c:v>29 July 2024</c:v>
                  </c:pt>
                  <c:pt idx="33">
                    <c:v>29 July 2024</c:v>
                  </c:pt>
                  <c:pt idx="34">
                    <c:v>29 July 2024</c:v>
                  </c:pt>
                  <c:pt idx="35">
                    <c:v>29 July 2024</c:v>
                  </c:pt>
                  <c:pt idx="36">
                    <c:v>05 August 2024</c:v>
                  </c:pt>
                  <c:pt idx="37">
                    <c:v>05 August 2024</c:v>
                  </c:pt>
                  <c:pt idx="38">
                    <c:v>05 August 2024</c:v>
                  </c:pt>
                  <c:pt idx="39">
                    <c:v>05 August 2024</c:v>
                  </c:pt>
                  <c:pt idx="40">
                    <c:v>12 August 2024</c:v>
                  </c:pt>
                  <c:pt idx="41">
                    <c:v>12 August 2024</c:v>
                  </c:pt>
                  <c:pt idx="42">
                    <c:v>12 August 2024</c:v>
                  </c:pt>
                  <c:pt idx="43">
                    <c:v>12 August 2024</c:v>
                  </c:pt>
                  <c:pt idx="44">
                    <c:v>19 August 2024</c:v>
                  </c:pt>
                  <c:pt idx="45">
                    <c:v>19 August 2024</c:v>
                  </c:pt>
                  <c:pt idx="46">
                    <c:v>19 August 2024</c:v>
                  </c:pt>
                  <c:pt idx="47">
                    <c:v>19 August 2024</c:v>
                  </c:pt>
                  <c:pt idx="48">
                    <c:v>26 August 2024</c:v>
                  </c:pt>
                  <c:pt idx="49">
                    <c:v>26 August 2024</c:v>
                  </c:pt>
                  <c:pt idx="50">
                    <c:v>26 August 2024</c:v>
                  </c:pt>
                  <c:pt idx="51">
                    <c:v>26 August 2024</c:v>
                  </c:pt>
                  <c:pt idx="52">
                    <c:v>02 September 2024</c:v>
                  </c:pt>
                  <c:pt idx="53">
                    <c:v>02 September 2024</c:v>
                  </c:pt>
                  <c:pt idx="54">
                    <c:v>02 September 2024</c:v>
                  </c:pt>
                  <c:pt idx="55">
                    <c:v>02 September 2024</c:v>
                  </c:pt>
                  <c:pt idx="56">
                    <c:v>09 September 2024</c:v>
                  </c:pt>
                  <c:pt idx="57">
                    <c:v>09 September 2024</c:v>
                  </c:pt>
                  <c:pt idx="58">
                    <c:v>09 September 2024</c:v>
                  </c:pt>
                  <c:pt idx="59">
                    <c:v>09 September 2024</c:v>
                  </c:pt>
                  <c:pt idx="60">
                    <c:v>16 September 2024</c:v>
                  </c:pt>
                  <c:pt idx="61">
                    <c:v>16 September 2024</c:v>
                  </c:pt>
                  <c:pt idx="62">
                    <c:v>16 September 2024</c:v>
                  </c:pt>
                  <c:pt idx="63">
                    <c:v>16 September 2024</c:v>
                  </c:pt>
                  <c:pt idx="64">
                    <c:v>23 September 2024</c:v>
                  </c:pt>
                  <c:pt idx="65">
                    <c:v>23 September 2024</c:v>
                  </c:pt>
                  <c:pt idx="66">
                    <c:v>23 September 2024</c:v>
                  </c:pt>
                  <c:pt idx="67">
                    <c:v>23 September 2024</c:v>
                  </c:pt>
                  <c:pt idx="68">
                    <c:v>30 September 2024</c:v>
                  </c:pt>
                  <c:pt idx="69">
                    <c:v>30 September 2024</c:v>
                  </c:pt>
                  <c:pt idx="70">
                    <c:v>30 September 2024</c:v>
                  </c:pt>
                  <c:pt idx="71">
                    <c:v>30 September 2024</c:v>
                  </c:pt>
                  <c:pt idx="72">
                    <c:v>07 October 2024</c:v>
                  </c:pt>
                  <c:pt idx="73">
                    <c:v>07 October 2024</c:v>
                  </c:pt>
                  <c:pt idx="74">
                    <c:v>07 October 2024</c:v>
                  </c:pt>
                  <c:pt idx="75">
                    <c:v>07 October 2024</c:v>
                  </c:pt>
                  <c:pt idx="76">
                    <c:v>14 October 2024</c:v>
                  </c:pt>
                  <c:pt idx="77">
                    <c:v>14 October 2024</c:v>
                  </c:pt>
                  <c:pt idx="78">
                    <c:v>14 October 2024</c:v>
                  </c:pt>
                  <c:pt idx="79">
                    <c:v>14 October 2024</c:v>
                  </c:pt>
                  <c:pt idx="80">
                    <c:v>21 October 2024</c:v>
                  </c:pt>
                  <c:pt idx="81">
                    <c:v>21 October 2024</c:v>
                  </c:pt>
                  <c:pt idx="82">
                    <c:v>21 October 2024</c:v>
                  </c:pt>
                  <c:pt idx="83">
                    <c:v>21 October 2024</c:v>
                  </c:pt>
                  <c:pt idx="84">
                    <c:v>28 October 2024</c:v>
                  </c:pt>
                  <c:pt idx="85">
                    <c:v>28 October 2024</c:v>
                  </c:pt>
                  <c:pt idx="86">
                    <c:v>28 October 2024</c:v>
                  </c:pt>
                  <c:pt idx="87">
                    <c:v>28 October 2024</c:v>
                  </c:pt>
                  <c:pt idx="88">
                    <c:v>04 November 2024</c:v>
                  </c:pt>
                  <c:pt idx="89">
                    <c:v>04 November 2024</c:v>
                  </c:pt>
                  <c:pt idx="90">
                    <c:v>04 November 2024</c:v>
                  </c:pt>
                  <c:pt idx="91">
                    <c:v>04 November 2024</c:v>
                  </c:pt>
                  <c:pt idx="92">
                    <c:v>11 November 2024</c:v>
                  </c:pt>
                  <c:pt idx="93">
                    <c:v>11 November 2024</c:v>
                  </c:pt>
                  <c:pt idx="94">
                    <c:v>11 November 2024</c:v>
                  </c:pt>
                  <c:pt idx="95">
                    <c:v>11 November 2024</c:v>
                  </c:pt>
                  <c:pt idx="96">
                    <c:v>18 November 2024</c:v>
                  </c:pt>
                  <c:pt idx="97">
                    <c:v>18 November 2024</c:v>
                  </c:pt>
                  <c:pt idx="98">
                    <c:v>18 November 2024</c:v>
                  </c:pt>
                  <c:pt idx="99">
                    <c:v>18 November 2024</c:v>
                  </c:pt>
                  <c:pt idx="100">
                    <c:v>25 November 2024</c:v>
                  </c:pt>
                  <c:pt idx="101">
                    <c:v>25 November 2024</c:v>
                  </c:pt>
                  <c:pt idx="102">
                    <c:v>25 November 2024</c:v>
                  </c:pt>
                  <c:pt idx="103">
                    <c:v>25 November 2024</c:v>
                  </c:pt>
                  <c:pt idx="104">
                    <c:v>02 December 2024</c:v>
                  </c:pt>
                  <c:pt idx="105">
                    <c:v>02 December 2024</c:v>
                  </c:pt>
                  <c:pt idx="106">
                    <c:v>02 December 2024</c:v>
                  </c:pt>
                  <c:pt idx="107">
                    <c:v>02 December 2024</c:v>
                  </c:pt>
                  <c:pt idx="108">
                    <c:v>09 December 2024</c:v>
                  </c:pt>
                  <c:pt idx="109">
                    <c:v>09 December 2024</c:v>
                  </c:pt>
                  <c:pt idx="110">
                    <c:v>09 December 2024</c:v>
                  </c:pt>
                  <c:pt idx="111">
                    <c:v>09 December 2024</c:v>
                  </c:pt>
                  <c:pt idx="112">
                    <c:v>16 December 2024</c:v>
                  </c:pt>
                  <c:pt idx="113">
                    <c:v>16 December 2024</c:v>
                  </c:pt>
                  <c:pt idx="114">
                    <c:v>16 December 2024</c:v>
                  </c:pt>
                  <c:pt idx="115">
                    <c:v>16 December 2024</c:v>
                  </c:pt>
                  <c:pt idx="116">
                    <c:v>23 December 2024</c:v>
                  </c:pt>
                  <c:pt idx="117">
                    <c:v>23 December 2024</c:v>
                  </c:pt>
                  <c:pt idx="118">
                    <c:v>23 December 2024</c:v>
                  </c:pt>
                  <c:pt idx="119">
                    <c:v>23 December 2024</c:v>
                  </c:pt>
                  <c:pt idx="120">
                    <c:v>30 December 2024</c:v>
                  </c:pt>
                  <c:pt idx="121">
                    <c:v>30 December 2024</c:v>
                  </c:pt>
                  <c:pt idx="122">
                    <c:v>30 December 2024</c:v>
                  </c:pt>
                  <c:pt idx="123">
                    <c:v>30 December 2024</c:v>
                  </c:pt>
                  <c:pt idx="124">
                    <c:v>06 January 2025</c:v>
                  </c:pt>
                  <c:pt idx="125">
                    <c:v>06 January 2025</c:v>
                  </c:pt>
                  <c:pt idx="126">
                    <c:v>06 January 2025</c:v>
                  </c:pt>
                  <c:pt idx="127">
                    <c:v>06 January 2025</c:v>
                  </c:pt>
                  <c:pt idx="128">
                    <c:v>13 January 2025</c:v>
                  </c:pt>
                  <c:pt idx="129">
                    <c:v>13 January 2025</c:v>
                  </c:pt>
                  <c:pt idx="130">
                    <c:v>13 January 2025</c:v>
                  </c:pt>
                  <c:pt idx="131">
                    <c:v>13 January 2025</c:v>
                  </c:pt>
                  <c:pt idx="132">
                    <c:v>20 January 2025</c:v>
                  </c:pt>
                  <c:pt idx="133">
                    <c:v>20 January 2025</c:v>
                  </c:pt>
                  <c:pt idx="134">
                    <c:v>20 January 2025</c:v>
                  </c:pt>
                  <c:pt idx="135">
                    <c:v>20 January 2025</c:v>
                  </c:pt>
                  <c:pt idx="136">
                    <c:v>27 January 2025</c:v>
                  </c:pt>
                  <c:pt idx="137">
                    <c:v>27 January 2025</c:v>
                  </c:pt>
                  <c:pt idx="138">
                    <c:v>27 January 2025</c:v>
                  </c:pt>
                  <c:pt idx="139">
                    <c:v>27 January 2025</c:v>
                  </c:pt>
                  <c:pt idx="140">
                    <c:v>03 February 2025</c:v>
                  </c:pt>
                  <c:pt idx="141">
                    <c:v>03 February 2025</c:v>
                  </c:pt>
                  <c:pt idx="142">
                    <c:v>03 February 2025</c:v>
                  </c:pt>
                  <c:pt idx="143">
                    <c:v>03 February 2025</c:v>
                  </c:pt>
                  <c:pt idx="144">
                    <c:v>10 February 2025</c:v>
                  </c:pt>
                  <c:pt idx="145">
                    <c:v>10 February 2025</c:v>
                  </c:pt>
                  <c:pt idx="146">
                    <c:v>10 February 2025</c:v>
                  </c:pt>
                  <c:pt idx="147">
                    <c:v>10 February 2025</c:v>
                  </c:pt>
                  <c:pt idx="148">
                    <c:v>17 February 2025</c:v>
                  </c:pt>
                  <c:pt idx="149">
                    <c:v>17 February 2025</c:v>
                  </c:pt>
                  <c:pt idx="150">
                    <c:v>17 February 2025</c:v>
                  </c:pt>
                  <c:pt idx="151">
                    <c:v>17 February 2025</c:v>
                  </c:pt>
                  <c:pt idx="152">
                    <c:v>24 February 2025</c:v>
                  </c:pt>
                  <c:pt idx="153">
                    <c:v>24 February 2025</c:v>
                  </c:pt>
                  <c:pt idx="154">
                    <c:v>24 February 2025</c:v>
                  </c:pt>
                  <c:pt idx="155">
                    <c:v>24 February 2025</c:v>
                  </c:pt>
                  <c:pt idx="156">
                    <c:v>03 March 2025</c:v>
                  </c:pt>
                  <c:pt idx="157">
                    <c:v>03 March 2025</c:v>
                  </c:pt>
                  <c:pt idx="158">
                    <c:v>03 March 2025</c:v>
                  </c:pt>
                  <c:pt idx="159">
                    <c:v>03 March 2025</c:v>
                  </c:pt>
                  <c:pt idx="160">
                    <c:v>10 March 2025</c:v>
                  </c:pt>
                  <c:pt idx="161">
                    <c:v>10 March 2025</c:v>
                  </c:pt>
                  <c:pt idx="162">
                    <c:v>10 March 2025</c:v>
                  </c:pt>
                  <c:pt idx="163">
                    <c:v>10 March 2025</c:v>
                  </c:pt>
                  <c:pt idx="164">
                    <c:v>17 March 2025</c:v>
                  </c:pt>
                  <c:pt idx="165">
                    <c:v>17 March 2025</c:v>
                  </c:pt>
                  <c:pt idx="166">
                    <c:v>17 March 2025</c:v>
                  </c:pt>
                  <c:pt idx="167">
                    <c:v>17 March 2025</c:v>
                  </c:pt>
                  <c:pt idx="168">
                    <c:v>24 March 2025</c:v>
                  </c:pt>
                  <c:pt idx="169">
                    <c:v>24 March 2025</c:v>
                  </c:pt>
                  <c:pt idx="170">
                    <c:v>24 March 2025</c:v>
                  </c:pt>
                  <c:pt idx="171">
                    <c:v>24 March 2025</c:v>
                  </c:pt>
                  <c:pt idx="172">
                    <c:v>31 March 2025</c:v>
                  </c:pt>
                  <c:pt idx="173">
                    <c:v>31 March 2025</c:v>
                  </c:pt>
                  <c:pt idx="174">
                    <c:v>31 March 2025</c:v>
                  </c:pt>
                  <c:pt idx="175">
                    <c:v>31 March 2025</c:v>
                  </c:pt>
                  <c:pt idx="176">
                    <c:v>07 April 2025</c:v>
                  </c:pt>
                  <c:pt idx="177">
                    <c:v>07 April 2025</c:v>
                  </c:pt>
                  <c:pt idx="178">
                    <c:v>07 April 2025</c:v>
                  </c:pt>
                  <c:pt idx="179">
                    <c:v>07 April 2025</c:v>
                  </c:pt>
                  <c:pt idx="180">
                    <c:v>14 April 2025</c:v>
                  </c:pt>
                  <c:pt idx="181">
                    <c:v>14 April 2025</c:v>
                  </c:pt>
                  <c:pt idx="182">
                    <c:v>14 April 2025</c:v>
                  </c:pt>
                  <c:pt idx="183">
                    <c:v>14 April 2025</c:v>
                  </c:pt>
                  <c:pt idx="184">
                    <c:v>21 April 2025</c:v>
                  </c:pt>
                  <c:pt idx="185">
                    <c:v>21 April 2025</c:v>
                  </c:pt>
                  <c:pt idx="186">
                    <c:v>21 April 2025</c:v>
                  </c:pt>
                  <c:pt idx="187">
                    <c:v>21 April 2025</c:v>
                  </c:pt>
                  <c:pt idx="188">
                    <c:v>28 April 2025</c:v>
                  </c:pt>
                  <c:pt idx="189">
                    <c:v>28 April 2025</c:v>
                  </c:pt>
                  <c:pt idx="190">
                    <c:v>28 April 2025</c:v>
                  </c:pt>
                  <c:pt idx="191">
                    <c:v>28 April 2025</c:v>
                  </c:pt>
                  <c:pt idx="192">
                    <c:v>05 May 2025</c:v>
                  </c:pt>
                  <c:pt idx="193">
                    <c:v>05 May 2025</c:v>
                  </c:pt>
                  <c:pt idx="194">
                    <c:v>05 May 2025</c:v>
                  </c:pt>
                  <c:pt idx="195">
                    <c:v>05 May 2025</c:v>
                  </c:pt>
                  <c:pt idx="196">
                    <c:v>12 May 2025</c:v>
                  </c:pt>
                  <c:pt idx="197">
                    <c:v>12 May 2025</c:v>
                  </c:pt>
                  <c:pt idx="198">
                    <c:v>12 May 2025</c:v>
                  </c:pt>
                  <c:pt idx="199">
                    <c:v>12 May 2025</c:v>
                  </c:pt>
                </c:lvl>
              </c:multiLvlStrCache>
            </c:multiLvlStrRef>
          </c:xVal>
          <c:yVal>
            <c:numRef>
              <c:f>Pivot!$D$58:$D$257</c:f>
              <c:numCache>
                <c:formatCode>General</c:formatCode>
                <c:ptCount val="200"/>
                <c:pt idx="0">
                  <c:v>5904</c:v>
                </c:pt>
                <c:pt idx="1">
                  <c:v>9566</c:v>
                </c:pt>
                <c:pt idx="2">
                  <c:v>26752</c:v>
                </c:pt>
                <c:pt idx="3">
                  <c:v>30671</c:v>
                </c:pt>
                <c:pt idx="4">
                  <c:v>9920</c:v>
                </c:pt>
                <c:pt idx="5">
                  <c:v>7924</c:v>
                </c:pt>
                <c:pt idx="6">
                  <c:v>8912</c:v>
                </c:pt>
                <c:pt idx="7">
                  <c:v>21205</c:v>
                </c:pt>
                <c:pt idx="8">
                  <c:v>11329</c:v>
                </c:pt>
                <c:pt idx="9">
                  <c:v>46670</c:v>
                </c:pt>
                <c:pt idx="10">
                  <c:v>22482</c:v>
                </c:pt>
                <c:pt idx="11">
                  <c:v>24313</c:v>
                </c:pt>
                <c:pt idx="12">
                  <c:v>18050</c:v>
                </c:pt>
                <c:pt idx="13">
                  <c:v>30635</c:v>
                </c:pt>
                <c:pt idx="14">
                  <c:v>31280</c:v>
                </c:pt>
                <c:pt idx="15">
                  <c:v>1783</c:v>
                </c:pt>
                <c:pt idx="16">
                  <c:v>9566</c:v>
                </c:pt>
                <c:pt idx="17">
                  <c:v>42307</c:v>
                </c:pt>
                <c:pt idx="18">
                  <c:v>5914</c:v>
                </c:pt>
                <c:pt idx="19">
                  <c:v>30060</c:v>
                </c:pt>
                <c:pt idx="20">
                  <c:v>22728</c:v>
                </c:pt>
                <c:pt idx="21">
                  <c:v>38610</c:v>
                </c:pt>
                <c:pt idx="22">
                  <c:v>2932</c:v>
                </c:pt>
                <c:pt idx="23">
                  <c:v>15071</c:v>
                </c:pt>
                <c:pt idx="24">
                  <c:v>10740</c:v>
                </c:pt>
                <c:pt idx="25">
                  <c:v>43420</c:v>
                </c:pt>
                <c:pt idx="26">
                  <c:v>32393</c:v>
                </c:pt>
                <c:pt idx="27">
                  <c:v>28474</c:v>
                </c:pt>
                <c:pt idx="28">
                  <c:v>17328</c:v>
                </c:pt>
                <c:pt idx="29">
                  <c:v>26067</c:v>
                </c:pt>
                <c:pt idx="30">
                  <c:v>32763</c:v>
                </c:pt>
                <c:pt idx="31">
                  <c:v>26452</c:v>
                </c:pt>
                <c:pt idx="32">
                  <c:v>15353</c:v>
                </c:pt>
                <c:pt idx="33">
                  <c:v>4839</c:v>
                </c:pt>
                <c:pt idx="34">
                  <c:v>39272</c:v>
                </c:pt>
                <c:pt idx="35">
                  <c:v>16804</c:v>
                </c:pt>
                <c:pt idx="36">
                  <c:v>49303</c:v>
                </c:pt>
                <c:pt idx="37">
                  <c:v>26455</c:v>
                </c:pt>
                <c:pt idx="38">
                  <c:v>12384</c:v>
                </c:pt>
                <c:pt idx="39">
                  <c:v>49372</c:v>
                </c:pt>
                <c:pt idx="40">
                  <c:v>47101</c:v>
                </c:pt>
                <c:pt idx="41">
                  <c:v>37903</c:v>
                </c:pt>
                <c:pt idx="42">
                  <c:v>33258</c:v>
                </c:pt>
                <c:pt idx="43">
                  <c:v>6915</c:v>
                </c:pt>
                <c:pt idx="44">
                  <c:v>35501</c:v>
                </c:pt>
                <c:pt idx="45">
                  <c:v>14203</c:v>
                </c:pt>
                <c:pt idx="46">
                  <c:v>22206</c:v>
                </c:pt>
                <c:pt idx="47">
                  <c:v>10283</c:v>
                </c:pt>
                <c:pt idx="48">
                  <c:v>24913</c:v>
                </c:pt>
                <c:pt idx="49">
                  <c:v>26925</c:v>
                </c:pt>
                <c:pt idx="50">
                  <c:v>9942</c:v>
                </c:pt>
                <c:pt idx="51">
                  <c:v>32929</c:v>
                </c:pt>
                <c:pt idx="52">
                  <c:v>37829</c:v>
                </c:pt>
                <c:pt idx="53">
                  <c:v>24384</c:v>
                </c:pt>
                <c:pt idx="54">
                  <c:v>25797</c:v>
                </c:pt>
                <c:pt idx="55">
                  <c:v>12646</c:v>
                </c:pt>
                <c:pt idx="56">
                  <c:v>26663</c:v>
                </c:pt>
                <c:pt idx="57">
                  <c:v>40478</c:v>
                </c:pt>
                <c:pt idx="58">
                  <c:v>15476</c:v>
                </c:pt>
                <c:pt idx="59">
                  <c:v>10217</c:v>
                </c:pt>
                <c:pt idx="60">
                  <c:v>21939</c:v>
                </c:pt>
                <c:pt idx="61">
                  <c:v>47462</c:v>
                </c:pt>
                <c:pt idx="62">
                  <c:v>30270</c:v>
                </c:pt>
                <c:pt idx="63">
                  <c:v>5442</c:v>
                </c:pt>
                <c:pt idx="64">
                  <c:v>1083</c:v>
                </c:pt>
                <c:pt idx="65">
                  <c:v>11901</c:v>
                </c:pt>
                <c:pt idx="66">
                  <c:v>24018</c:v>
                </c:pt>
                <c:pt idx="67">
                  <c:v>38883</c:v>
                </c:pt>
                <c:pt idx="68">
                  <c:v>30575</c:v>
                </c:pt>
                <c:pt idx="69">
                  <c:v>2315</c:v>
                </c:pt>
                <c:pt idx="70">
                  <c:v>12148</c:v>
                </c:pt>
                <c:pt idx="71">
                  <c:v>36851</c:v>
                </c:pt>
                <c:pt idx="72">
                  <c:v>41215</c:v>
                </c:pt>
                <c:pt idx="73">
                  <c:v>43836</c:v>
                </c:pt>
                <c:pt idx="74">
                  <c:v>4509</c:v>
                </c:pt>
                <c:pt idx="75">
                  <c:v>27822</c:v>
                </c:pt>
                <c:pt idx="76">
                  <c:v>36397</c:v>
                </c:pt>
                <c:pt idx="77">
                  <c:v>7285</c:v>
                </c:pt>
                <c:pt idx="78">
                  <c:v>33174</c:v>
                </c:pt>
                <c:pt idx="79">
                  <c:v>6742</c:v>
                </c:pt>
                <c:pt idx="80">
                  <c:v>32478</c:v>
                </c:pt>
                <c:pt idx="81">
                  <c:v>42824</c:v>
                </c:pt>
                <c:pt idx="82">
                  <c:v>21208</c:v>
                </c:pt>
                <c:pt idx="83">
                  <c:v>44321</c:v>
                </c:pt>
                <c:pt idx="84">
                  <c:v>13116</c:v>
                </c:pt>
                <c:pt idx="85">
                  <c:v>30214</c:v>
                </c:pt>
                <c:pt idx="86">
                  <c:v>15827</c:v>
                </c:pt>
                <c:pt idx="87">
                  <c:v>46643</c:v>
                </c:pt>
                <c:pt idx="88">
                  <c:v>36484</c:v>
                </c:pt>
                <c:pt idx="89">
                  <c:v>4996</c:v>
                </c:pt>
                <c:pt idx="90">
                  <c:v>36095</c:v>
                </c:pt>
                <c:pt idx="91">
                  <c:v>16443</c:v>
                </c:pt>
                <c:pt idx="92">
                  <c:v>47812</c:v>
                </c:pt>
                <c:pt idx="93">
                  <c:v>38452</c:v>
                </c:pt>
                <c:pt idx="94">
                  <c:v>30428</c:v>
                </c:pt>
                <c:pt idx="95">
                  <c:v>9269</c:v>
                </c:pt>
                <c:pt idx="96">
                  <c:v>29533</c:v>
                </c:pt>
                <c:pt idx="97">
                  <c:v>39997</c:v>
                </c:pt>
                <c:pt idx="98">
                  <c:v>5391</c:v>
                </c:pt>
                <c:pt idx="99">
                  <c:v>22373</c:v>
                </c:pt>
                <c:pt idx="100">
                  <c:v>1810</c:v>
                </c:pt>
                <c:pt idx="101">
                  <c:v>28498</c:v>
                </c:pt>
                <c:pt idx="102">
                  <c:v>39530</c:v>
                </c:pt>
                <c:pt idx="103">
                  <c:v>37876</c:v>
                </c:pt>
                <c:pt idx="104">
                  <c:v>36103</c:v>
                </c:pt>
                <c:pt idx="105">
                  <c:v>26103</c:v>
                </c:pt>
                <c:pt idx="106">
                  <c:v>3455</c:v>
                </c:pt>
                <c:pt idx="107">
                  <c:v>40888</c:v>
                </c:pt>
                <c:pt idx="108">
                  <c:v>22724</c:v>
                </c:pt>
                <c:pt idx="109">
                  <c:v>18601</c:v>
                </c:pt>
                <c:pt idx="110">
                  <c:v>20861</c:v>
                </c:pt>
                <c:pt idx="111">
                  <c:v>46625</c:v>
                </c:pt>
                <c:pt idx="112">
                  <c:v>20692</c:v>
                </c:pt>
                <c:pt idx="113">
                  <c:v>18656</c:v>
                </c:pt>
                <c:pt idx="114">
                  <c:v>13316</c:v>
                </c:pt>
                <c:pt idx="115">
                  <c:v>49558</c:v>
                </c:pt>
                <c:pt idx="116">
                  <c:v>4683</c:v>
                </c:pt>
                <c:pt idx="117">
                  <c:v>47502</c:v>
                </c:pt>
                <c:pt idx="118">
                  <c:v>35359</c:v>
                </c:pt>
                <c:pt idx="119">
                  <c:v>14154</c:v>
                </c:pt>
                <c:pt idx="120">
                  <c:v>4313</c:v>
                </c:pt>
                <c:pt idx="121">
                  <c:v>25140</c:v>
                </c:pt>
                <c:pt idx="122">
                  <c:v>9118</c:v>
                </c:pt>
                <c:pt idx="123">
                  <c:v>39931</c:v>
                </c:pt>
                <c:pt idx="124">
                  <c:v>37132</c:v>
                </c:pt>
                <c:pt idx="125">
                  <c:v>17951</c:v>
                </c:pt>
                <c:pt idx="126">
                  <c:v>2798</c:v>
                </c:pt>
                <c:pt idx="127">
                  <c:v>15045</c:v>
                </c:pt>
                <c:pt idx="128">
                  <c:v>14548</c:v>
                </c:pt>
                <c:pt idx="129">
                  <c:v>45708</c:v>
                </c:pt>
                <c:pt idx="130">
                  <c:v>12350</c:v>
                </c:pt>
                <c:pt idx="131">
                  <c:v>40868</c:v>
                </c:pt>
                <c:pt idx="132">
                  <c:v>43122</c:v>
                </c:pt>
                <c:pt idx="133">
                  <c:v>23853</c:v>
                </c:pt>
                <c:pt idx="134">
                  <c:v>45380</c:v>
                </c:pt>
                <c:pt idx="135">
                  <c:v>7705</c:v>
                </c:pt>
                <c:pt idx="136">
                  <c:v>25525</c:v>
                </c:pt>
                <c:pt idx="137">
                  <c:v>20560</c:v>
                </c:pt>
                <c:pt idx="138">
                  <c:v>19119</c:v>
                </c:pt>
                <c:pt idx="139">
                  <c:v>43999</c:v>
                </c:pt>
                <c:pt idx="140">
                  <c:v>10825</c:v>
                </c:pt>
                <c:pt idx="141">
                  <c:v>40323</c:v>
                </c:pt>
                <c:pt idx="142">
                  <c:v>48270</c:v>
                </c:pt>
                <c:pt idx="143">
                  <c:v>18001</c:v>
                </c:pt>
                <c:pt idx="144">
                  <c:v>3314</c:v>
                </c:pt>
                <c:pt idx="145">
                  <c:v>23489</c:v>
                </c:pt>
                <c:pt idx="146">
                  <c:v>42832</c:v>
                </c:pt>
                <c:pt idx="147">
                  <c:v>24494</c:v>
                </c:pt>
                <c:pt idx="148">
                  <c:v>44097</c:v>
                </c:pt>
                <c:pt idx="149">
                  <c:v>31853</c:v>
                </c:pt>
                <c:pt idx="150">
                  <c:v>37636</c:v>
                </c:pt>
                <c:pt idx="151">
                  <c:v>22996</c:v>
                </c:pt>
                <c:pt idx="152">
                  <c:v>49772</c:v>
                </c:pt>
                <c:pt idx="153">
                  <c:v>22713</c:v>
                </c:pt>
                <c:pt idx="154">
                  <c:v>8718</c:v>
                </c:pt>
                <c:pt idx="155">
                  <c:v>39031</c:v>
                </c:pt>
                <c:pt idx="156">
                  <c:v>33799</c:v>
                </c:pt>
                <c:pt idx="157">
                  <c:v>20553</c:v>
                </c:pt>
                <c:pt idx="158">
                  <c:v>10002</c:v>
                </c:pt>
                <c:pt idx="159">
                  <c:v>30987</c:v>
                </c:pt>
                <c:pt idx="160">
                  <c:v>6296</c:v>
                </c:pt>
                <c:pt idx="161">
                  <c:v>21539</c:v>
                </c:pt>
                <c:pt idx="162">
                  <c:v>14722</c:v>
                </c:pt>
                <c:pt idx="163">
                  <c:v>11383</c:v>
                </c:pt>
                <c:pt idx="164">
                  <c:v>9480</c:v>
                </c:pt>
                <c:pt idx="165">
                  <c:v>29116</c:v>
                </c:pt>
                <c:pt idx="166">
                  <c:v>14068</c:v>
                </c:pt>
                <c:pt idx="167">
                  <c:v>35801</c:v>
                </c:pt>
                <c:pt idx="168">
                  <c:v>49077</c:v>
                </c:pt>
                <c:pt idx="169">
                  <c:v>21453</c:v>
                </c:pt>
                <c:pt idx="170">
                  <c:v>21061</c:v>
                </c:pt>
                <c:pt idx="171">
                  <c:v>20059</c:v>
                </c:pt>
                <c:pt idx="172">
                  <c:v>23140</c:v>
                </c:pt>
                <c:pt idx="173">
                  <c:v>23461</c:v>
                </c:pt>
                <c:pt idx="174">
                  <c:v>11805</c:v>
                </c:pt>
                <c:pt idx="175">
                  <c:v>15969</c:v>
                </c:pt>
                <c:pt idx="176">
                  <c:v>2436</c:v>
                </c:pt>
                <c:pt idx="177">
                  <c:v>47603</c:v>
                </c:pt>
                <c:pt idx="178">
                  <c:v>42964</c:v>
                </c:pt>
                <c:pt idx="179">
                  <c:v>39923</c:v>
                </c:pt>
                <c:pt idx="180">
                  <c:v>2293</c:v>
                </c:pt>
                <c:pt idx="181">
                  <c:v>25920</c:v>
                </c:pt>
                <c:pt idx="182">
                  <c:v>11035</c:v>
                </c:pt>
                <c:pt idx="183">
                  <c:v>20733</c:v>
                </c:pt>
                <c:pt idx="184">
                  <c:v>18693</c:v>
                </c:pt>
                <c:pt idx="185">
                  <c:v>7875</c:v>
                </c:pt>
                <c:pt idx="186">
                  <c:v>8471</c:v>
                </c:pt>
                <c:pt idx="187">
                  <c:v>14090</c:v>
                </c:pt>
                <c:pt idx="188">
                  <c:v>14216</c:v>
                </c:pt>
                <c:pt idx="189">
                  <c:v>3582</c:v>
                </c:pt>
                <c:pt idx="190">
                  <c:v>32500</c:v>
                </c:pt>
                <c:pt idx="191">
                  <c:v>6832</c:v>
                </c:pt>
                <c:pt idx="192">
                  <c:v>33381</c:v>
                </c:pt>
                <c:pt idx="193">
                  <c:v>48419</c:v>
                </c:pt>
                <c:pt idx="194">
                  <c:v>16149</c:v>
                </c:pt>
                <c:pt idx="195">
                  <c:v>7541</c:v>
                </c:pt>
                <c:pt idx="196">
                  <c:v>20042</c:v>
                </c:pt>
                <c:pt idx="197">
                  <c:v>49400</c:v>
                </c:pt>
                <c:pt idx="198">
                  <c:v>4007</c:v>
                </c:pt>
                <c:pt idx="199">
                  <c:v>12174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D26-4E48-9014-3FB1CEA6F98A}"/>
            </c:ext>
          </c:extLst>
        </c:ser>
        <c:ser>
          <c:idx val="2"/>
          <c:order val="2"/>
          <c:tx>
            <c:strRef>
              <c:f>Pivot!$E$57</c:f>
              <c:strCache>
                <c:ptCount val="1"/>
                <c:pt idx="0">
                  <c:v>Follower Growth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multiLvlStrRef>
              <c:f>Pivot!$A$58:$B$257</c:f>
              <c:multiLvlStrCache>
                <c:ptCount val="200"/>
                <c:lvl>
                  <c:pt idx="0">
                    <c:v>Instagram</c:v>
                  </c:pt>
                  <c:pt idx="1">
                    <c:v>Facebook</c:v>
                  </c:pt>
                  <c:pt idx="2">
                    <c:v>Twitter</c:v>
                  </c:pt>
                  <c:pt idx="3">
                    <c:v>Youtube</c:v>
                  </c:pt>
                  <c:pt idx="4">
                    <c:v>Instagram</c:v>
                  </c:pt>
                  <c:pt idx="5">
                    <c:v>Facebook</c:v>
                  </c:pt>
                  <c:pt idx="6">
                    <c:v>Twitter</c:v>
                  </c:pt>
                  <c:pt idx="7">
                    <c:v>Youtube</c:v>
                  </c:pt>
                  <c:pt idx="8">
                    <c:v>Instagram</c:v>
                  </c:pt>
                  <c:pt idx="9">
                    <c:v>Facebook</c:v>
                  </c:pt>
                  <c:pt idx="10">
                    <c:v>Twitter</c:v>
                  </c:pt>
                  <c:pt idx="11">
                    <c:v>Youtube</c:v>
                  </c:pt>
                  <c:pt idx="12">
                    <c:v>Instagram</c:v>
                  </c:pt>
                  <c:pt idx="13">
                    <c:v>Facebook</c:v>
                  </c:pt>
                  <c:pt idx="14">
                    <c:v>Twitter</c:v>
                  </c:pt>
                  <c:pt idx="15">
                    <c:v>Youtube</c:v>
                  </c:pt>
                  <c:pt idx="16">
                    <c:v>Instagram</c:v>
                  </c:pt>
                  <c:pt idx="17">
                    <c:v>Facebook</c:v>
                  </c:pt>
                  <c:pt idx="18">
                    <c:v>Twitter</c:v>
                  </c:pt>
                  <c:pt idx="19">
                    <c:v>Youtube</c:v>
                  </c:pt>
                  <c:pt idx="20">
                    <c:v>Instagram</c:v>
                  </c:pt>
                  <c:pt idx="21">
                    <c:v>Facebook</c:v>
                  </c:pt>
                  <c:pt idx="22">
                    <c:v>Twitter</c:v>
                  </c:pt>
                  <c:pt idx="23">
                    <c:v>Youtube</c:v>
                  </c:pt>
                  <c:pt idx="24">
                    <c:v>Instagram</c:v>
                  </c:pt>
                  <c:pt idx="25">
                    <c:v>Facebook</c:v>
                  </c:pt>
                  <c:pt idx="26">
                    <c:v>Twitter</c:v>
                  </c:pt>
                  <c:pt idx="27">
                    <c:v>Youtube</c:v>
                  </c:pt>
                  <c:pt idx="28">
                    <c:v>Instagram</c:v>
                  </c:pt>
                  <c:pt idx="29">
                    <c:v>Facebook</c:v>
                  </c:pt>
                  <c:pt idx="30">
                    <c:v>Twitter</c:v>
                  </c:pt>
                  <c:pt idx="31">
                    <c:v>Youtube</c:v>
                  </c:pt>
                  <c:pt idx="32">
                    <c:v>Instagram</c:v>
                  </c:pt>
                  <c:pt idx="33">
                    <c:v>Facebook</c:v>
                  </c:pt>
                  <c:pt idx="34">
                    <c:v>Twitter</c:v>
                  </c:pt>
                  <c:pt idx="35">
                    <c:v>Youtube</c:v>
                  </c:pt>
                  <c:pt idx="36">
                    <c:v>Instagram</c:v>
                  </c:pt>
                  <c:pt idx="37">
                    <c:v>Facebook</c:v>
                  </c:pt>
                  <c:pt idx="38">
                    <c:v>Twitter</c:v>
                  </c:pt>
                  <c:pt idx="39">
                    <c:v>Youtube</c:v>
                  </c:pt>
                  <c:pt idx="40">
                    <c:v>Instagram</c:v>
                  </c:pt>
                  <c:pt idx="41">
                    <c:v>Facebook</c:v>
                  </c:pt>
                  <c:pt idx="42">
                    <c:v>Twitter</c:v>
                  </c:pt>
                  <c:pt idx="43">
                    <c:v>Youtube</c:v>
                  </c:pt>
                  <c:pt idx="44">
                    <c:v>Instagram</c:v>
                  </c:pt>
                  <c:pt idx="45">
                    <c:v>Facebook</c:v>
                  </c:pt>
                  <c:pt idx="46">
                    <c:v>Twitter</c:v>
                  </c:pt>
                  <c:pt idx="47">
                    <c:v>Youtube</c:v>
                  </c:pt>
                  <c:pt idx="48">
                    <c:v>Instagram</c:v>
                  </c:pt>
                  <c:pt idx="49">
                    <c:v>Facebook</c:v>
                  </c:pt>
                  <c:pt idx="50">
                    <c:v>Twitter</c:v>
                  </c:pt>
                  <c:pt idx="51">
                    <c:v>Youtube</c:v>
                  </c:pt>
                  <c:pt idx="52">
                    <c:v>Instagram</c:v>
                  </c:pt>
                  <c:pt idx="53">
                    <c:v>Facebook</c:v>
                  </c:pt>
                  <c:pt idx="54">
                    <c:v>Twitter</c:v>
                  </c:pt>
                  <c:pt idx="55">
                    <c:v>Youtube</c:v>
                  </c:pt>
                  <c:pt idx="56">
                    <c:v>Instagram</c:v>
                  </c:pt>
                  <c:pt idx="57">
                    <c:v>Facebook</c:v>
                  </c:pt>
                  <c:pt idx="58">
                    <c:v>Twitter</c:v>
                  </c:pt>
                  <c:pt idx="59">
                    <c:v>Youtube</c:v>
                  </c:pt>
                  <c:pt idx="60">
                    <c:v>Instagram</c:v>
                  </c:pt>
                  <c:pt idx="61">
                    <c:v>Facebook</c:v>
                  </c:pt>
                  <c:pt idx="62">
                    <c:v>Twitter</c:v>
                  </c:pt>
                  <c:pt idx="63">
                    <c:v>Youtube</c:v>
                  </c:pt>
                  <c:pt idx="64">
                    <c:v>Instagram</c:v>
                  </c:pt>
                  <c:pt idx="65">
                    <c:v>Facebook</c:v>
                  </c:pt>
                  <c:pt idx="66">
                    <c:v>Twitter</c:v>
                  </c:pt>
                  <c:pt idx="67">
                    <c:v>Youtube</c:v>
                  </c:pt>
                  <c:pt idx="68">
                    <c:v>Instagram</c:v>
                  </c:pt>
                  <c:pt idx="69">
                    <c:v>Facebook</c:v>
                  </c:pt>
                  <c:pt idx="70">
                    <c:v>Twitter</c:v>
                  </c:pt>
                  <c:pt idx="71">
                    <c:v>Youtube</c:v>
                  </c:pt>
                  <c:pt idx="72">
                    <c:v>Instagram</c:v>
                  </c:pt>
                  <c:pt idx="73">
                    <c:v>Facebook</c:v>
                  </c:pt>
                  <c:pt idx="74">
                    <c:v>Twitter</c:v>
                  </c:pt>
                  <c:pt idx="75">
                    <c:v>Youtube</c:v>
                  </c:pt>
                  <c:pt idx="76">
                    <c:v>Instagram</c:v>
                  </c:pt>
                  <c:pt idx="77">
                    <c:v>Facebook</c:v>
                  </c:pt>
                  <c:pt idx="78">
                    <c:v>Twitter</c:v>
                  </c:pt>
                  <c:pt idx="79">
                    <c:v>Youtube</c:v>
                  </c:pt>
                  <c:pt idx="80">
                    <c:v>Instagram</c:v>
                  </c:pt>
                  <c:pt idx="81">
                    <c:v>Facebook</c:v>
                  </c:pt>
                  <c:pt idx="82">
                    <c:v>Twitter</c:v>
                  </c:pt>
                  <c:pt idx="83">
                    <c:v>Youtube</c:v>
                  </c:pt>
                  <c:pt idx="84">
                    <c:v>Instagram</c:v>
                  </c:pt>
                  <c:pt idx="85">
                    <c:v>Facebook</c:v>
                  </c:pt>
                  <c:pt idx="86">
                    <c:v>Twitter</c:v>
                  </c:pt>
                  <c:pt idx="87">
                    <c:v>Youtube</c:v>
                  </c:pt>
                  <c:pt idx="88">
                    <c:v>Instagram</c:v>
                  </c:pt>
                  <c:pt idx="89">
                    <c:v>Facebook</c:v>
                  </c:pt>
                  <c:pt idx="90">
                    <c:v>Twitter</c:v>
                  </c:pt>
                  <c:pt idx="91">
                    <c:v>Youtube</c:v>
                  </c:pt>
                  <c:pt idx="92">
                    <c:v>Instagram</c:v>
                  </c:pt>
                  <c:pt idx="93">
                    <c:v>Facebook</c:v>
                  </c:pt>
                  <c:pt idx="94">
                    <c:v>Twitter</c:v>
                  </c:pt>
                  <c:pt idx="95">
                    <c:v>Youtube</c:v>
                  </c:pt>
                  <c:pt idx="96">
                    <c:v>Instagram</c:v>
                  </c:pt>
                  <c:pt idx="97">
                    <c:v>Facebook</c:v>
                  </c:pt>
                  <c:pt idx="98">
                    <c:v>Twitter</c:v>
                  </c:pt>
                  <c:pt idx="99">
                    <c:v>Youtube</c:v>
                  </c:pt>
                  <c:pt idx="100">
                    <c:v>Instagram</c:v>
                  </c:pt>
                  <c:pt idx="101">
                    <c:v>Facebook</c:v>
                  </c:pt>
                  <c:pt idx="102">
                    <c:v>Twitter</c:v>
                  </c:pt>
                  <c:pt idx="103">
                    <c:v>Youtube</c:v>
                  </c:pt>
                  <c:pt idx="104">
                    <c:v>Instagram</c:v>
                  </c:pt>
                  <c:pt idx="105">
                    <c:v>Facebook</c:v>
                  </c:pt>
                  <c:pt idx="106">
                    <c:v>Twitter</c:v>
                  </c:pt>
                  <c:pt idx="107">
                    <c:v>Youtube</c:v>
                  </c:pt>
                  <c:pt idx="108">
                    <c:v>Instagram</c:v>
                  </c:pt>
                  <c:pt idx="109">
                    <c:v>Facebook</c:v>
                  </c:pt>
                  <c:pt idx="110">
                    <c:v>Twitter</c:v>
                  </c:pt>
                  <c:pt idx="111">
                    <c:v>Youtube</c:v>
                  </c:pt>
                  <c:pt idx="112">
                    <c:v>Instagram</c:v>
                  </c:pt>
                  <c:pt idx="113">
                    <c:v>Facebook</c:v>
                  </c:pt>
                  <c:pt idx="114">
                    <c:v>Twitter</c:v>
                  </c:pt>
                  <c:pt idx="115">
                    <c:v>Youtube</c:v>
                  </c:pt>
                  <c:pt idx="116">
                    <c:v>Instagram</c:v>
                  </c:pt>
                  <c:pt idx="117">
                    <c:v>Facebook</c:v>
                  </c:pt>
                  <c:pt idx="118">
                    <c:v>Twitter</c:v>
                  </c:pt>
                  <c:pt idx="119">
                    <c:v>Youtube</c:v>
                  </c:pt>
                  <c:pt idx="120">
                    <c:v>Instagram</c:v>
                  </c:pt>
                  <c:pt idx="121">
                    <c:v>Facebook</c:v>
                  </c:pt>
                  <c:pt idx="122">
                    <c:v>Twitter</c:v>
                  </c:pt>
                  <c:pt idx="123">
                    <c:v>Youtube</c:v>
                  </c:pt>
                  <c:pt idx="124">
                    <c:v>Instagram</c:v>
                  </c:pt>
                  <c:pt idx="125">
                    <c:v>Facebook</c:v>
                  </c:pt>
                  <c:pt idx="126">
                    <c:v>Twitter</c:v>
                  </c:pt>
                  <c:pt idx="127">
                    <c:v>Youtube</c:v>
                  </c:pt>
                  <c:pt idx="128">
                    <c:v>Instagram</c:v>
                  </c:pt>
                  <c:pt idx="129">
                    <c:v>Facebook</c:v>
                  </c:pt>
                  <c:pt idx="130">
                    <c:v>Twitter</c:v>
                  </c:pt>
                  <c:pt idx="131">
                    <c:v>Youtube</c:v>
                  </c:pt>
                  <c:pt idx="132">
                    <c:v>Instagram</c:v>
                  </c:pt>
                  <c:pt idx="133">
                    <c:v>Facebook</c:v>
                  </c:pt>
                  <c:pt idx="134">
                    <c:v>Twitter</c:v>
                  </c:pt>
                  <c:pt idx="135">
                    <c:v>Youtube</c:v>
                  </c:pt>
                  <c:pt idx="136">
                    <c:v>Instagram</c:v>
                  </c:pt>
                  <c:pt idx="137">
                    <c:v>Facebook</c:v>
                  </c:pt>
                  <c:pt idx="138">
                    <c:v>Twitter</c:v>
                  </c:pt>
                  <c:pt idx="139">
                    <c:v>Youtube</c:v>
                  </c:pt>
                  <c:pt idx="140">
                    <c:v>Instagram</c:v>
                  </c:pt>
                  <c:pt idx="141">
                    <c:v>Facebook</c:v>
                  </c:pt>
                  <c:pt idx="142">
                    <c:v>Twitter</c:v>
                  </c:pt>
                  <c:pt idx="143">
                    <c:v>Youtube</c:v>
                  </c:pt>
                  <c:pt idx="144">
                    <c:v>Instagram</c:v>
                  </c:pt>
                  <c:pt idx="145">
                    <c:v>Facebook</c:v>
                  </c:pt>
                  <c:pt idx="146">
                    <c:v>Twitter</c:v>
                  </c:pt>
                  <c:pt idx="147">
                    <c:v>Youtube</c:v>
                  </c:pt>
                  <c:pt idx="148">
                    <c:v>Instagram</c:v>
                  </c:pt>
                  <c:pt idx="149">
                    <c:v>Facebook</c:v>
                  </c:pt>
                  <c:pt idx="150">
                    <c:v>Twitter</c:v>
                  </c:pt>
                  <c:pt idx="151">
                    <c:v>Youtube</c:v>
                  </c:pt>
                  <c:pt idx="152">
                    <c:v>Instagram</c:v>
                  </c:pt>
                  <c:pt idx="153">
                    <c:v>Facebook</c:v>
                  </c:pt>
                  <c:pt idx="154">
                    <c:v>Twitter</c:v>
                  </c:pt>
                  <c:pt idx="155">
                    <c:v>Youtube</c:v>
                  </c:pt>
                  <c:pt idx="156">
                    <c:v>Instagram</c:v>
                  </c:pt>
                  <c:pt idx="157">
                    <c:v>Facebook</c:v>
                  </c:pt>
                  <c:pt idx="158">
                    <c:v>Twitter</c:v>
                  </c:pt>
                  <c:pt idx="159">
                    <c:v>Youtube</c:v>
                  </c:pt>
                  <c:pt idx="160">
                    <c:v>Instagram</c:v>
                  </c:pt>
                  <c:pt idx="161">
                    <c:v>Facebook</c:v>
                  </c:pt>
                  <c:pt idx="162">
                    <c:v>Twitter</c:v>
                  </c:pt>
                  <c:pt idx="163">
                    <c:v>Youtube</c:v>
                  </c:pt>
                  <c:pt idx="164">
                    <c:v>Instagram</c:v>
                  </c:pt>
                  <c:pt idx="165">
                    <c:v>Facebook</c:v>
                  </c:pt>
                  <c:pt idx="166">
                    <c:v>Twitter</c:v>
                  </c:pt>
                  <c:pt idx="167">
                    <c:v>Youtube</c:v>
                  </c:pt>
                  <c:pt idx="168">
                    <c:v>Instagram</c:v>
                  </c:pt>
                  <c:pt idx="169">
                    <c:v>Facebook</c:v>
                  </c:pt>
                  <c:pt idx="170">
                    <c:v>Twitter</c:v>
                  </c:pt>
                  <c:pt idx="171">
                    <c:v>Youtube</c:v>
                  </c:pt>
                  <c:pt idx="172">
                    <c:v>Instagram</c:v>
                  </c:pt>
                  <c:pt idx="173">
                    <c:v>Facebook</c:v>
                  </c:pt>
                  <c:pt idx="174">
                    <c:v>Twitter</c:v>
                  </c:pt>
                  <c:pt idx="175">
                    <c:v>Youtube</c:v>
                  </c:pt>
                  <c:pt idx="176">
                    <c:v>Instagram</c:v>
                  </c:pt>
                  <c:pt idx="177">
                    <c:v>Facebook</c:v>
                  </c:pt>
                  <c:pt idx="178">
                    <c:v>Twitter</c:v>
                  </c:pt>
                  <c:pt idx="179">
                    <c:v>Youtube</c:v>
                  </c:pt>
                  <c:pt idx="180">
                    <c:v>Instagram</c:v>
                  </c:pt>
                  <c:pt idx="181">
                    <c:v>Facebook</c:v>
                  </c:pt>
                  <c:pt idx="182">
                    <c:v>Twitter</c:v>
                  </c:pt>
                  <c:pt idx="183">
                    <c:v>Youtube</c:v>
                  </c:pt>
                  <c:pt idx="184">
                    <c:v>Instagram</c:v>
                  </c:pt>
                  <c:pt idx="185">
                    <c:v>Facebook</c:v>
                  </c:pt>
                  <c:pt idx="186">
                    <c:v>Twitter</c:v>
                  </c:pt>
                  <c:pt idx="187">
                    <c:v>Youtube</c:v>
                  </c:pt>
                  <c:pt idx="188">
                    <c:v>Instagram</c:v>
                  </c:pt>
                  <c:pt idx="189">
                    <c:v>Facebook</c:v>
                  </c:pt>
                  <c:pt idx="190">
                    <c:v>Twitter</c:v>
                  </c:pt>
                  <c:pt idx="191">
                    <c:v>Youtube</c:v>
                  </c:pt>
                  <c:pt idx="192">
                    <c:v>Instagram</c:v>
                  </c:pt>
                  <c:pt idx="193">
                    <c:v>Facebook</c:v>
                  </c:pt>
                  <c:pt idx="194">
                    <c:v>Twitter</c:v>
                  </c:pt>
                  <c:pt idx="195">
                    <c:v>Youtube</c:v>
                  </c:pt>
                  <c:pt idx="196">
                    <c:v>Instagram</c:v>
                  </c:pt>
                  <c:pt idx="197">
                    <c:v>Facebook</c:v>
                  </c:pt>
                  <c:pt idx="198">
                    <c:v>Twitter</c:v>
                  </c:pt>
                  <c:pt idx="199">
                    <c:v>Youtube</c:v>
                  </c:pt>
                </c:lvl>
                <c:lvl>
                  <c:pt idx="0">
                    <c:v>03 June 2024</c:v>
                  </c:pt>
                  <c:pt idx="1">
                    <c:v>03 June 2024</c:v>
                  </c:pt>
                  <c:pt idx="2">
                    <c:v>03 June 2024</c:v>
                  </c:pt>
                  <c:pt idx="3">
                    <c:v>03 June 2024</c:v>
                  </c:pt>
                  <c:pt idx="4">
                    <c:v>10 June 2024</c:v>
                  </c:pt>
                  <c:pt idx="5">
                    <c:v>10 June 2024</c:v>
                  </c:pt>
                  <c:pt idx="6">
                    <c:v>10 June 2024</c:v>
                  </c:pt>
                  <c:pt idx="7">
                    <c:v>10 June 2024</c:v>
                  </c:pt>
                  <c:pt idx="8">
                    <c:v>17 June 2024</c:v>
                  </c:pt>
                  <c:pt idx="9">
                    <c:v>17 June 2024</c:v>
                  </c:pt>
                  <c:pt idx="10">
                    <c:v>17 June 2024</c:v>
                  </c:pt>
                  <c:pt idx="11">
                    <c:v>17 June 2024</c:v>
                  </c:pt>
                  <c:pt idx="12">
                    <c:v>24 June 2024</c:v>
                  </c:pt>
                  <c:pt idx="13">
                    <c:v>24 June 2024</c:v>
                  </c:pt>
                  <c:pt idx="14">
                    <c:v>24 June 2024</c:v>
                  </c:pt>
                  <c:pt idx="15">
                    <c:v>24 June 2024</c:v>
                  </c:pt>
                  <c:pt idx="16">
                    <c:v>01 July 2024</c:v>
                  </c:pt>
                  <c:pt idx="17">
                    <c:v>01 July 2024</c:v>
                  </c:pt>
                  <c:pt idx="18">
                    <c:v>01 July 2024</c:v>
                  </c:pt>
                  <c:pt idx="19">
                    <c:v>01 July 2024</c:v>
                  </c:pt>
                  <c:pt idx="20">
                    <c:v>08 July 2024</c:v>
                  </c:pt>
                  <c:pt idx="21">
                    <c:v>08 July 2024</c:v>
                  </c:pt>
                  <c:pt idx="22">
                    <c:v>08 July 2024</c:v>
                  </c:pt>
                  <c:pt idx="23">
                    <c:v>08 July 2024</c:v>
                  </c:pt>
                  <c:pt idx="24">
                    <c:v>15 July 2024</c:v>
                  </c:pt>
                  <c:pt idx="25">
                    <c:v>15 July 2024</c:v>
                  </c:pt>
                  <c:pt idx="26">
                    <c:v>15 July 2024</c:v>
                  </c:pt>
                  <c:pt idx="27">
                    <c:v>15 July 2024</c:v>
                  </c:pt>
                  <c:pt idx="28">
                    <c:v>22 July 2024</c:v>
                  </c:pt>
                  <c:pt idx="29">
                    <c:v>22 July 2024</c:v>
                  </c:pt>
                  <c:pt idx="30">
                    <c:v>22 July 2024</c:v>
                  </c:pt>
                  <c:pt idx="31">
                    <c:v>22 July 2024</c:v>
                  </c:pt>
                  <c:pt idx="32">
                    <c:v>29 July 2024</c:v>
                  </c:pt>
                  <c:pt idx="33">
                    <c:v>29 July 2024</c:v>
                  </c:pt>
                  <c:pt idx="34">
                    <c:v>29 July 2024</c:v>
                  </c:pt>
                  <c:pt idx="35">
                    <c:v>29 July 2024</c:v>
                  </c:pt>
                  <c:pt idx="36">
                    <c:v>05 August 2024</c:v>
                  </c:pt>
                  <c:pt idx="37">
                    <c:v>05 August 2024</c:v>
                  </c:pt>
                  <c:pt idx="38">
                    <c:v>05 August 2024</c:v>
                  </c:pt>
                  <c:pt idx="39">
                    <c:v>05 August 2024</c:v>
                  </c:pt>
                  <c:pt idx="40">
                    <c:v>12 August 2024</c:v>
                  </c:pt>
                  <c:pt idx="41">
                    <c:v>12 August 2024</c:v>
                  </c:pt>
                  <c:pt idx="42">
                    <c:v>12 August 2024</c:v>
                  </c:pt>
                  <c:pt idx="43">
                    <c:v>12 August 2024</c:v>
                  </c:pt>
                  <c:pt idx="44">
                    <c:v>19 August 2024</c:v>
                  </c:pt>
                  <c:pt idx="45">
                    <c:v>19 August 2024</c:v>
                  </c:pt>
                  <c:pt idx="46">
                    <c:v>19 August 2024</c:v>
                  </c:pt>
                  <c:pt idx="47">
                    <c:v>19 August 2024</c:v>
                  </c:pt>
                  <c:pt idx="48">
                    <c:v>26 August 2024</c:v>
                  </c:pt>
                  <c:pt idx="49">
                    <c:v>26 August 2024</c:v>
                  </c:pt>
                  <c:pt idx="50">
                    <c:v>26 August 2024</c:v>
                  </c:pt>
                  <c:pt idx="51">
                    <c:v>26 August 2024</c:v>
                  </c:pt>
                  <c:pt idx="52">
                    <c:v>02 September 2024</c:v>
                  </c:pt>
                  <c:pt idx="53">
                    <c:v>02 September 2024</c:v>
                  </c:pt>
                  <c:pt idx="54">
                    <c:v>02 September 2024</c:v>
                  </c:pt>
                  <c:pt idx="55">
                    <c:v>02 September 2024</c:v>
                  </c:pt>
                  <c:pt idx="56">
                    <c:v>09 September 2024</c:v>
                  </c:pt>
                  <c:pt idx="57">
                    <c:v>09 September 2024</c:v>
                  </c:pt>
                  <c:pt idx="58">
                    <c:v>09 September 2024</c:v>
                  </c:pt>
                  <c:pt idx="59">
                    <c:v>09 September 2024</c:v>
                  </c:pt>
                  <c:pt idx="60">
                    <c:v>16 September 2024</c:v>
                  </c:pt>
                  <c:pt idx="61">
                    <c:v>16 September 2024</c:v>
                  </c:pt>
                  <c:pt idx="62">
                    <c:v>16 September 2024</c:v>
                  </c:pt>
                  <c:pt idx="63">
                    <c:v>16 September 2024</c:v>
                  </c:pt>
                  <c:pt idx="64">
                    <c:v>23 September 2024</c:v>
                  </c:pt>
                  <c:pt idx="65">
                    <c:v>23 September 2024</c:v>
                  </c:pt>
                  <c:pt idx="66">
                    <c:v>23 September 2024</c:v>
                  </c:pt>
                  <c:pt idx="67">
                    <c:v>23 September 2024</c:v>
                  </c:pt>
                  <c:pt idx="68">
                    <c:v>30 September 2024</c:v>
                  </c:pt>
                  <c:pt idx="69">
                    <c:v>30 September 2024</c:v>
                  </c:pt>
                  <c:pt idx="70">
                    <c:v>30 September 2024</c:v>
                  </c:pt>
                  <c:pt idx="71">
                    <c:v>30 September 2024</c:v>
                  </c:pt>
                  <c:pt idx="72">
                    <c:v>07 October 2024</c:v>
                  </c:pt>
                  <c:pt idx="73">
                    <c:v>07 October 2024</c:v>
                  </c:pt>
                  <c:pt idx="74">
                    <c:v>07 October 2024</c:v>
                  </c:pt>
                  <c:pt idx="75">
                    <c:v>07 October 2024</c:v>
                  </c:pt>
                  <c:pt idx="76">
                    <c:v>14 October 2024</c:v>
                  </c:pt>
                  <c:pt idx="77">
                    <c:v>14 October 2024</c:v>
                  </c:pt>
                  <c:pt idx="78">
                    <c:v>14 October 2024</c:v>
                  </c:pt>
                  <c:pt idx="79">
                    <c:v>14 October 2024</c:v>
                  </c:pt>
                  <c:pt idx="80">
                    <c:v>21 October 2024</c:v>
                  </c:pt>
                  <c:pt idx="81">
                    <c:v>21 October 2024</c:v>
                  </c:pt>
                  <c:pt idx="82">
                    <c:v>21 October 2024</c:v>
                  </c:pt>
                  <c:pt idx="83">
                    <c:v>21 October 2024</c:v>
                  </c:pt>
                  <c:pt idx="84">
                    <c:v>28 October 2024</c:v>
                  </c:pt>
                  <c:pt idx="85">
                    <c:v>28 October 2024</c:v>
                  </c:pt>
                  <c:pt idx="86">
                    <c:v>28 October 2024</c:v>
                  </c:pt>
                  <c:pt idx="87">
                    <c:v>28 October 2024</c:v>
                  </c:pt>
                  <c:pt idx="88">
                    <c:v>04 November 2024</c:v>
                  </c:pt>
                  <c:pt idx="89">
                    <c:v>04 November 2024</c:v>
                  </c:pt>
                  <c:pt idx="90">
                    <c:v>04 November 2024</c:v>
                  </c:pt>
                  <c:pt idx="91">
                    <c:v>04 November 2024</c:v>
                  </c:pt>
                  <c:pt idx="92">
                    <c:v>11 November 2024</c:v>
                  </c:pt>
                  <c:pt idx="93">
                    <c:v>11 November 2024</c:v>
                  </c:pt>
                  <c:pt idx="94">
                    <c:v>11 November 2024</c:v>
                  </c:pt>
                  <c:pt idx="95">
                    <c:v>11 November 2024</c:v>
                  </c:pt>
                  <c:pt idx="96">
                    <c:v>18 November 2024</c:v>
                  </c:pt>
                  <c:pt idx="97">
                    <c:v>18 November 2024</c:v>
                  </c:pt>
                  <c:pt idx="98">
                    <c:v>18 November 2024</c:v>
                  </c:pt>
                  <c:pt idx="99">
                    <c:v>18 November 2024</c:v>
                  </c:pt>
                  <c:pt idx="100">
                    <c:v>25 November 2024</c:v>
                  </c:pt>
                  <c:pt idx="101">
                    <c:v>25 November 2024</c:v>
                  </c:pt>
                  <c:pt idx="102">
                    <c:v>25 November 2024</c:v>
                  </c:pt>
                  <c:pt idx="103">
                    <c:v>25 November 2024</c:v>
                  </c:pt>
                  <c:pt idx="104">
                    <c:v>02 December 2024</c:v>
                  </c:pt>
                  <c:pt idx="105">
                    <c:v>02 December 2024</c:v>
                  </c:pt>
                  <c:pt idx="106">
                    <c:v>02 December 2024</c:v>
                  </c:pt>
                  <c:pt idx="107">
                    <c:v>02 December 2024</c:v>
                  </c:pt>
                  <c:pt idx="108">
                    <c:v>09 December 2024</c:v>
                  </c:pt>
                  <c:pt idx="109">
                    <c:v>09 December 2024</c:v>
                  </c:pt>
                  <c:pt idx="110">
                    <c:v>09 December 2024</c:v>
                  </c:pt>
                  <c:pt idx="111">
                    <c:v>09 December 2024</c:v>
                  </c:pt>
                  <c:pt idx="112">
                    <c:v>16 December 2024</c:v>
                  </c:pt>
                  <c:pt idx="113">
                    <c:v>16 December 2024</c:v>
                  </c:pt>
                  <c:pt idx="114">
                    <c:v>16 December 2024</c:v>
                  </c:pt>
                  <c:pt idx="115">
                    <c:v>16 December 2024</c:v>
                  </c:pt>
                  <c:pt idx="116">
                    <c:v>23 December 2024</c:v>
                  </c:pt>
                  <c:pt idx="117">
                    <c:v>23 December 2024</c:v>
                  </c:pt>
                  <c:pt idx="118">
                    <c:v>23 December 2024</c:v>
                  </c:pt>
                  <c:pt idx="119">
                    <c:v>23 December 2024</c:v>
                  </c:pt>
                  <c:pt idx="120">
                    <c:v>30 December 2024</c:v>
                  </c:pt>
                  <c:pt idx="121">
                    <c:v>30 December 2024</c:v>
                  </c:pt>
                  <c:pt idx="122">
                    <c:v>30 December 2024</c:v>
                  </c:pt>
                  <c:pt idx="123">
                    <c:v>30 December 2024</c:v>
                  </c:pt>
                  <c:pt idx="124">
                    <c:v>06 January 2025</c:v>
                  </c:pt>
                  <c:pt idx="125">
                    <c:v>06 January 2025</c:v>
                  </c:pt>
                  <c:pt idx="126">
                    <c:v>06 January 2025</c:v>
                  </c:pt>
                  <c:pt idx="127">
                    <c:v>06 January 2025</c:v>
                  </c:pt>
                  <c:pt idx="128">
                    <c:v>13 January 2025</c:v>
                  </c:pt>
                  <c:pt idx="129">
                    <c:v>13 January 2025</c:v>
                  </c:pt>
                  <c:pt idx="130">
                    <c:v>13 January 2025</c:v>
                  </c:pt>
                  <c:pt idx="131">
                    <c:v>13 January 2025</c:v>
                  </c:pt>
                  <c:pt idx="132">
                    <c:v>20 January 2025</c:v>
                  </c:pt>
                  <c:pt idx="133">
                    <c:v>20 January 2025</c:v>
                  </c:pt>
                  <c:pt idx="134">
                    <c:v>20 January 2025</c:v>
                  </c:pt>
                  <c:pt idx="135">
                    <c:v>20 January 2025</c:v>
                  </c:pt>
                  <c:pt idx="136">
                    <c:v>27 January 2025</c:v>
                  </c:pt>
                  <c:pt idx="137">
                    <c:v>27 January 2025</c:v>
                  </c:pt>
                  <c:pt idx="138">
                    <c:v>27 January 2025</c:v>
                  </c:pt>
                  <c:pt idx="139">
                    <c:v>27 January 2025</c:v>
                  </c:pt>
                  <c:pt idx="140">
                    <c:v>03 February 2025</c:v>
                  </c:pt>
                  <c:pt idx="141">
                    <c:v>03 February 2025</c:v>
                  </c:pt>
                  <c:pt idx="142">
                    <c:v>03 February 2025</c:v>
                  </c:pt>
                  <c:pt idx="143">
                    <c:v>03 February 2025</c:v>
                  </c:pt>
                  <c:pt idx="144">
                    <c:v>10 February 2025</c:v>
                  </c:pt>
                  <c:pt idx="145">
                    <c:v>10 February 2025</c:v>
                  </c:pt>
                  <c:pt idx="146">
                    <c:v>10 February 2025</c:v>
                  </c:pt>
                  <c:pt idx="147">
                    <c:v>10 February 2025</c:v>
                  </c:pt>
                  <c:pt idx="148">
                    <c:v>17 February 2025</c:v>
                  </c:pt>
                  <c:pt idx="149">
                    <c:v>17 February 2025</c:v>
                  </c:pt>
                  <c:pt idx="150">
                    <c:v>17 February 2025</c:v>
                  </c:pt>
                  <c:pt idx="151">
                    <c:v>17 February 2025</c:v>
                  </c:pt>
                  <c:pt idx="152">
                    <c:v>24 February 2025</c:v>
                  </c:pt>
                  <c:pt idx="153">
                    <c:v>24 February 2025</c:v>
                  </c:pt>
                  <c:pt idx="154">
                    <c:v>24 February 2025</c:v>
                  </c:pt>
                  <c:pt idx="155">
                    <c:v>24 February 2025</c:v>
                  </c:pt>
                  <c:pt idx="156">
                    <c:v>03 March 2025</c:v>
                  </c:pt>
                  <c:pt idx="157">
                    <c:v>03 March 2025</c:v>
                  </c:pt>
                  <c:pt idx="158">
                    <c:v>03 March 2025</c:v>
                  </c:pt>
                  <c:pt idx="159">
                    <c:v>03 March 2025</c:v>
                  </c:pt>
                  <c:pt idx="160">
                    <c:v>10 March 2025</c:v>
                  </c:pt>
                  <c:pt idx="161">
                    <c:v>10 March 2025</c:v>
                  </c:pt>
                  <c:pt idx="162">
                    <c:v>10 March 2025</c:v>
                  </c:pt>
                  <c:pt idx="163">
                    <c:v>10 March 2025</c:v>
                  </c:pt>
                  <c:pt idx="164">
                    <c:v>17 March 2025</c:v>
                  </c:pt>
                  <c:pt idx="165">
                    <c:v>17 March 2025</c:v>
                  </c:pt>
                  <c:pt idx="166">
                    <c:v>17 March 2025</c:v>
                  </c:pt>
                  <c:pt idx="167">
                    <c:v>17 March 2025</c:v>
                  </c:pt>
                  <c:pt idx="168">
                    <c:v>24 March 2025</c:v>
                  </c:pt>
                  <c:pt idx="169">
                    <c:v>24 March 2025</c:v>
                  </c:pt>
                  <c:pt idx="170">
                    <c:v>24 March 2025</c:v>
                  </c:pt>
                  <c:pt idx="171">
                    <c:v>24 March 2025</c:v>
                  </c:pt>
                  <c:pt idx="172">
                    <c:v>31 March 2025</c:v>
                  </c:pt>
                  <c:pt idx="173">
                    <c:v>31 March 2025</c:v>
                  </c:pt>
                  <c:pt idx="174">
                    <c:v>31 March 2025</c:v>
                  </c:pt>
                  <c:pt idx="175">
                    <c:v>31 March 2025</c:v>
                  </c:pt>
                  <c:pt idx="176">
                    <c:v>07 April 2025</c:v>
                  </c:pt>
                  <c:pt idx="177">
                    <c:v>07 April 2025</c:v>
                  </c:pt>
                  <c:pt idx="178">
                    <c:v>07 April 2025</c:v>
                  </c:pt>
                  <c:pt idx="179">
                    <c:v>07 April 2025</c:v>
                  </c:pt>
                  <c:pt idx="180">
                    <c:v>14 April 2025</c:v>
                  </c:pt>
                  <c:pt idx="181">
                    <c:v>14 April 2025</c:v>
                  </c:pt>
                  <c:pt idx="182">
                    <c:v>14 April 2025</c:v>
                  </c:pt>
                  <c:pt idx="183">
                    <c:v>14 April 2025</c:v>
                  </c:pt>
                  <c:pt idx="184">
                    <c:v>21 April 2025</c:v>
                  </c:pt>
                  <c:pt idx="185">
                    <c:v>21 April 2025</c:v>
                  </c:pt>
                  <c:pt idx="186">
                    <c:v>21 April 2025</c:v>
                  </c:pt>
                  <c:pt idx="187">
                    <c:v>21 April 2025</c:v>
                  </c:pt>
                  <c:pt idx="188">
                    <c:v>28 April 2025</c:v>
                  </c:pt>
                  <c:pt idx="189">
                    <c:v>28 April 2025</c:v>
                  </c:pt>
                  <c:pt idx="190">
                    <c:v>28 April 2025</c:v>
                  </c:pt>
                  <c:pt idx="191">
                    <c:v>28 April 2025</c:v>
                  </c:pt>
                  <c:pt idx="192">
                    <c:v>05 May 2025</c:v>
                  </c:pt>
                  <c:pt idx="193">
                    <c:v>05 May 2025</c:v>
                  </c:pt>
                  <c:pt idx="194">
                    <c:v>05 May 2025</c:v>
                  </c:pt>
                  <c:pt idx="195">
                    <c:v>05 May 2025</c:v>
                  </c:pt>
                  <c:pt idx="196">
                    <c:v>12 May 2025</c:v>
                  </c:pt>
                  <c:pt idx="197">
                    <c:v>12 May 2025</c:v>
                  </c:pt>
                  <c:pt idx="198">
                    <c:v>12 May 2025</c:v>
                  </c:pt>
                  <c:pt idx="199">
                    <c:v>12 May 2025</c:v>
                  </c:pt>
                </c:lvl>
              </c:multiLvlStrCache>
            </c:multiLvlStrRef>
          </c:xVal>
          <c:yVal>
            <c:numRef>
              <c:f>Pivot!$E$58:$E$257</c:f>
              <c:numCache>
                <c:formatCode>General</c:formatCode>
                <c:ptCount val="200"/>
                <c:pt idx="4">
                  <c:v>-294927</c:v>
                </c:pt>
                <c:pt idx="5">
                  <c:v>273901</c:v>
                </c:pt>
                <c:pt idx="6">
                  <c:v>107513</c:v>
                </c:pt>
                <c:pt idx="7">
                  <c:v>18342</c:v>
                </c:pt>
                <c:pt idx="8">
                  <c:v>407789</c:v>
                </c:pt>
                <c:pt idx="9">
                  <c:v>-147059</c:v>
                </c:pt>
                <c:pt idx="10">
                  <c:v>-131615</c:v>
                </c:pt>
                <c:pt idx="11">
                  <c:v>-31027</c:v>
                </c:pt>
                <c:pt idx="12">
                  <c:v>-421282</c:v>
                </c:pt>
                <c:pt idx="13">
                  <c:v>-143201</c:v>
                </c:pt>
                <c:pt idx="14">
                  <c:v>175689</c:v>
                </c:pt>
                <c:pt idx="15">
                  <c:v>43333</c:v>
                </c:pt>
                <c:pt idx="16">
                  <c:v>383783</c:v>
                </c:pt>
                <c:pt idx="17">
                  <c:v>193725</c:v>
                </c:pt>
                <c:pt idx="18">
                  <c:v>16884</c:v>
                </c:pt>
                <c:pt idx="19">
                  <c:v>-312506</c:v>
                </c:pt>
                <c:pt idx="20">
                  <c:v>-361224</c:v>
                </c:pt>
                <c:pt idx="21">
                  <c:v>31674</c:v>
                </c:pt>
                <c:pt idx="22">
                  <c:v>74505</c:v>
                </c:pt>
                <c:pt idx="23">
                  <c:v>120016</c:v>
                </c:pt>
                <c:pt idx="24">
                  <c:v>95946</c:v>
                </c:pt>
                <c:pt idx="25">
                  <c:v>82932</c:v>
                </c:pt>
                <c:pt idx="26">
                  <c:v>-163808</c:v>
                </c:pt>
                <c:pt idx="27">
                  <c:v>-77011</c:v>
                </c:pt>
                <c:pt idx="28">
                  <c:v>319643</c:v>
                </c:pt>
                <c:pt idx="29">
                  <c:v>-39594</c:v>
                </c:pt>
                <c:pt idx="30">
                  <c:v>-27724</c:v>
                </c:pt>
                <c:pt idx="31">
                  <c:v>149881</c:v>
                </c:pt>
                <c:pt idx="32">
                  <c:v>-450148</c:v>
                </c:pt>
                <c:pt idx="33">
                  <c:v>140002</c:v>
                </c:pt>
                <c:pt idx="34">
                  <c:v>89296</c:v>
                </c:pt>
                <c:pt idx="35">
                  <c:v>-244065</c:v>
                </c:pt>
                <c:pt idx="36">
                  <c:v>414304</c:v>
                </c:pt>
                <c:pt idx="37">
                  <c:v>-310000</c:v>
                </c:pt>
                <c:pt idx="38">
                  <c:v>162420</c:v>
                </c:pt>
                <c:pt idx="39">
                  <c:v>258151</c:v>
                </c:pt>
                <c:pt idx="40">
                  <c:v>51220</c:v>
                </c:pt>
                <c:pt idx="41">
                  <c:v>182578</c:v>
                </c:pt>
                <c:pt idx="42">
                  <c:v>-15111</c:v>
                </c:pt>
                <c:pt idx="43">
                  <c:v>-218608</c:v>
                </c:pt>
                <c:pt idx="44">
                  <c:v>-163744</c:v>
                </c:pt>
                <c:pt idx="45">
                  <c:v>-123688</c:v>
                </c:pt>
                <c:pt idx="46">
                  <c:v>-246228</c:v>
                </c:pt>
                <c:pt idx="47">
                  <c:v>-14599</c:v>
                </c:pt>
                <c:pt idx="48">
                  <c:v>128355</c:v>
                </c:pt>
                <c:pt idx="49">
                  <c:v>195456</c:v>
                </c:pt>
                <c:pt idx="50">
                  <c:v>-2201</c:v>
                </c:pt>
                <c:pt idx="51">
                  <c:v>151601</c:v>
                </c:pt>
                <c:pt idx="52">
                  <c:v>-352467</c:v>
                </c:pt>
                <c:pt idx="53">
                  <c:v>117602</c:v>
                </c:pt>
                <c:pt idx="54">
                  <c:v>132325</c:v>
                </c:pt>
                <c:pt idx="55">
                  <c:v>131927</c:v>
                </c:pt>
                <c:pt idx="56">
                  <c:v>276722</c:v>
                </c:pt>
                <c:pt idx="57">
                  <c:v>-189458</c:v>
                </c:pt>
                <c:pt idx="58">
                  <c:v>115268</c:v>
                </c:pt>
                <c:pt idx="59">
                  <c:v>-306388</c:v>
                </c:pt>
                <c:pt idx="60">
                  <c:v>-327261</c:v>
                </c:pt>
                <c:pt idx="61">
                  <c:v>166638</c:v>
                </c:pt>
                <c:pt idx="62">
                  <c:v>-41692</c:v>
                </c:pt>
                <c:pt idx="63">
                  <c:v>55351</c:v>
                </c:pt>
                <c:pt idx="64">
                  <c:v>371832</c:v>
                </c:pt>
                <c:pt idx="65">
                  <c:v>-234409</c:v>
                </c:pt>
                <c:pt idx="66">
                  <c:v>-123839</c:v>
                </c:pt>
                <c:pt idx="67">
                  <c:v>-56757</c:v>
                </c:pt>
                <c:pt idx="68">
                  <c:v>-52356</c:v>
                </c:pt>
                <c:pt idx="69">
                  <c:v>213670</c:v>
                </c:pt>
                <c:pt idx="70">
                  <c:v>-203610</c:v>
                </c:pt>
                <c:pt idx="71">
                  <c:v>31183</c:v>
                </c:pt>
                <c:pt idx="72">
                  <c:v>-183086</c:v>
                </c:pt>
                <c:pt idx="73">
                  <c:v>-74060</c:v>
                </c:pt>
                <c:pt idx="74">
                  <c:v>411580</c:v>
                </c:pt>
                <c:pt idx="75">
                  <c:v>23407</c:v>
                </c:pt>
                <c:pt idx="76">
                  <c:v>201372</c:v>
                </c:pt>
                <c:pt idx="77">
                  <c:v>-221764</c:v>
                </c:pt>
                <c:pt idx="78">
                  <c:v>-166714</c:v>
                </c:pt>
                <c:pt idx="79">
                  <c:v>81411</c:v>
                </c:pt>
                <c:pt idx="80">
                  <c:v>-31466</c:v>
                </c:pt>
                <c:pt idx="81">
                  <c:v>-134107</c:v>
                </c:pt>
                <c:pt idx="82">
                  <c:v>-51485</c:v>
                </c:pt>
                <c:pt idx="83">
                  <c:v>57732</c:v>
                </c:pt>
                <c:pt idx="84">
                  <c:v>-10567</c:v>
                </c:pt>
                <c:pt idx="85">
                  <c:v>186495</c:v>
                </c:pt>
                <c:pt idx="86">
                  <c:v>-17737</c:v>
                </c:pt>
                <c:pt idx="87">
                  <c:v>48917</c:v>
                </c:pt>
                <c:pt idx="88">
                  <c:v>-291587</c:v>
                </c:pt>
                <c:pt idx="89">
                  <c:v>109199</c:v>
                </c:pt>
                <c:pt idx="90">
                  <c:v>198530</c:v>
                </c:pt>
                <c:pt idx="91">
                  <c:v>-46883</c:v>
                </c:pt>
                <c:pt idx="92">
                  <c:v>-3540</c:v>
                </c:pt>
                <c:pt idx="93">
                  <c:v>-9703</c:v>
                </c:pt>
                <c:pt idx="94">
                  <c:v>-351775</c:v>
                </c:pt>
                <c:pt idx="95">
                  <c:v>-137853</c:v>
                </c:pt>
                <c:pt idx="96">
                  <c:v>-308</c:v>
                </c:pt>
                <c:pt idx="97">
                  <c:v>29364</c:v>
                </c:pt>
                <c:pt idx="98">
                  <c:v>400218</c:v>
                </c:pt>
                <c:pt idx="99">
                  <c:v>180604</c:v>
                </c:pt>
                <c:pt idx="100">
                  <c:v>231379</c:v>
                </c:pt>
                <c:pt idx="101">
                  <c:v>-2186</c:v>
                </c:pt>
                <c:pt idx="102">
                  <c:v>-399068</c:v>
                </c:pt>
                <c:pt idx="103">
                  <c:v>-239160</c:v>
                </c:pt>
                <c:pt idx="104">
                  <c:v>139491</c:v>
                </c:pt>
                <c:pt idx="105">
                  <c:v>133608</c:v>
                </c:pt>
                <c:pt idx="106">
                  <c:v>221449</c:v>
                </c:pt>
                <c:pt idx="107">
                  <c:v>158739</c:v>
                </c:pt>
                <c:pt idx="108">
                  <c:v>-201341</c:v>
                </c:pt>
                <c:pt idx="109">
                  <c:v>-434427</c:v>
                </c:pt>
                <c:pt idx="110">
                  <c:v>-289297</c:v>
                </c:pt>
                <c:pt idx="111">
                  <c:v>230620</c:v>
                </c:pt>
                <c:pt idx="112">
                  <c:v>244937</c:v>
                </c:pt>
                <c:pt idx="113">
                  <c:v>379973</c:v>
                </c:pt>
                <c:pt idx="114">
                  <c:v>306576</c:v>
                </c:pt>
                <c:pt idx="115">
                  <c:v>37007</c:v>
                </c:pt>
                <c:pt idx="116">
                  <c:v>-184758</c:v>
                </c:pt>
                <c:pt idx="117">
                  <c:v>-322468</c:v>
                </c:pt>
                <c:pt idx="118">
                  <c:v>-246064</c:v>
                </c:pt>
                <c:pt idx="119">
                  <c:v>-463724</c:v>
                </c:pt>
                <c:pt idx="120">
                  <c:v>-139991</c:v>
                </c:pt>
                <c:pt idx="121">
                  <c:v>286084</c:v>
                </c:pt>
                <c:pt idx="122">
                  <c:v>193712</c:v>
                </c:pt>
                <c:pt idx="123">
                  <c:v>111668</c:v>
                </c:pt>
                <c:pt idx="124">
                  <c:v>325578</c:v>
                </c:pt>
                <c:pt idx="125">
                  <c:v>-283703</c:v>
                </c:pt>
                <c:pt idx="126">
                  <c:v>96325</c:v>
                </c:pt>
                <c:pt idx="127">
                  <c:v>-41435</c:v>
                </c:pt>
                <c:pt idx="128">
                  <c:v>-116969</c:v>
                </c:pt>
                <c:pt idx="129">
                  <c:v>128971</c:v>
                </c:pt>
                <c:pt idx="130">
                  <c:v>116740</c:v>
                </c:pt>
                <c:pt idx="131">
                  <c:v>-80973</c:v>
                </c:pt>
                <c:pt idx="132">
                  <c:v>34268</c:v>
                </c:pt>
                <c:pt idx="133">
                  <c:v>254791</c:v>
                </c:pt>
                <c:pt idx="134">
                  <c:v>-363492</c:v>
                </c:pt>
                <c:pt idx="135">
                  <c:v>322512</c:v>
                </c:pt>
                <c:pt idx="136">
                  <c:v>-26416</c:v>
                </c:pt>
                <c:pt idx="137">
                  <c:v>-158183</c:v>
                </c:pt>
                <c:pt idx="138">
                  <c:v>138165</c:v>
                </c:pt>
                <c:pt idx="139">
                  <c:v>124720</c:v>
                </c:pt>
                <c:pt idx="140">
                  <c:v>-5709</c:v>
                </c:pt>
                <c:pt idx="141">
                  <c:v>-185320</c:v>
                </c:pt>
                <c:pt idx="142">
                  <c:v>-85015</c:v>
                </c:pt>
                <c:pt idx="143">
                  <c:v>-190903</c:v>
                </c:pt>
                <c:pt idx="144">
                  <c:v>-129430</c:v>
                </c:pt>
                <c:pt idx="145">
                  <c:v>173927</c:v>
                </c:pt>
                <c:pt idx="146">
                  <c:v>-50972</c:v>
                </c:pt>
                <c:pt idx="147">
                  <c:v>214514</c:v>
                </c:pt>
                <c:pt idx="148">
                  <c:v>231117</c:v>
                </c:pt>
                <c:pt idx="149">
                  <c:v>-204947</c:v>
                </c:pt>
                <c:pt idx="150">
                  <c:v>19026</c:v>
                </c:pt>
                <c:pt idx="151">
                  <c:v>-379300</c:v>
                </c:pt>
                <c:pt idx="152">
                  <c:v>-326719</c:v>
                </c:pt>
                <c:pt idx="153">
                  <c:v>125481</c:v>
                </c:pt>
                <c:pt idx="154">
                  <c:v>171399</c:v>
                </c:pt>
                <c:pt idx="155">
                  <c:v>358259</c:v>
                </c:pt>
                <c:pt idx="156">
                  <c:v>131055</c:v>
                </c:pt>
                <c:pt idx="157">
                  <c:v>136433</c:v>
                </c:pt>
                <c:pt idx="158">
                  <c:v>149568</c:v>
                </c:pt>
                <c:pt idx="159">
                  <c:v>-239705</c:v>
                </c:pt>
                <c:pt idx="160">
                  <c:v>204563</c:v>
                </c:pt>
                <c:pt idx="161">
                  <c:v>-26039</c:v>
                </c:pt>
                <c:pt idx="162">
                  <c:v>-454104</c:v>
                </c:pt>
                <c:pt idx="163">
                  <c:v>-126137</c:v>
                </c:pt>
                <c:pt idx="164">
                  <c:v>-51812</c:v>
                </c:pt>
                <c:pt idx="165">
                  <c:v>1287</c:v>
                </c:pt>
                <c:pt idx="166">
                  <c:v>-24</c:v>
                </c:pt>
                <c:pt idx="167">
                  <c:v>-81017</c:v>
                </c:pt>
                <c:pt idx="168">
                  <c:v>-45520</c:v>
                </c:pt>
                <c:pt idx="169">
                  <c:v>31477</c:v>
                </c:pt>
                <c:pt idx="170">
                  <c:v>198643</c:v>
                </c:pt>
                <c:pt idx="171">
                  <c:v>424551</c:v>
                </c:pt>
                <c:pt idx="172">
                  <c:v>-82030</c:v>
                </c:pt>
                <c:pt idx="173">
                  <c:v>-3536</c:v>
                </c:pt>
                <c:pt idx="174">
                  <c:v>-12740</c:v>
                </c:pt>
                <c:pt idx="175">
                  <c:v>-6205</c:v>
                </c:pt>
                <c:pt idx="176">
                  <c:v>-203991</c:v>
                </c:pt>
                <c:pt idx="177">
                  <c:v>-271474</c:v>
                </c:pt>
                <c:pt idx="178">
                  <c:v>-168761</c:v>
                </c:pt>
                <c:pt idx="179">
                  <c:v>-145372</c:v>
                </c:pt>
                <c:pt idx="180">
                  <c:v>-12107</c:v>
                </c:pt>
                <c:pt idx="181">
                  <c:v>-27889</c:v>
                </c:pt>
                <c:pt idx="182">
                  <c:v>112918</c:v>
                </c:pt>
                <c:pt idx="183">
                  <c:v>79171</c:v>
                </c:pt>
                <c:pt idx="184">
                  <c:v>-3740</c:v>
                </c:pt>
                <c:pt idx="185">
                  <c:v>306675</c:v>
                </c:pt>
                <c:pt idx="186">
                  <c:v>191344</c:v>
                </c:pt>
                <c:pt idx="187">
                  <c:v>-98567</c:v>
                </c:pt>
                <c:pt idx="188">
                  <c:v>383002</c:v>
                </c:pt>
                <c:pt idx="189">
                  <c:v>-152552</c:v>
                </c:pt>
                <c:pt idx="190">
                  <c:v>153438</c:v>
                </c:pt>
                <c:pt idx="191">
                  <c:v>-259523</c:v>
                </c:pt>
                <c:pt idx="192">
                  <c:v>1958</c:v>
                </c:pt>
                <c:pt idx="193">
                  <c:v>193866</c:v>
                </c:pt>
                <c:pt idx="194">
                  <c:v>-2925</c:v>
                </c:pt>
                <c:pt idx="195">
                  <c:v>137042</c:v>
                </c:pt>
                <c:pt idx="196">
                  <c:v>20399</c:v>
                </c:pt>
                <c:pt idx="197">
                  <c:v>-53876</c:v>
                </c:pt>
                <c:pt idx="198">
                  <c:v>-28066</c:v>
                </c:pt>
                <c:pt idx="199">
                  <c:v>-65919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D26-4E48-9014-3FB1CEA6F9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331439"/>
        <c:axId val="134331919"/>
      </c:scatterChart>
      <c:valAx>
        <c:axId val="134331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Ad_Spend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31919"/>
        <c:crosses val="autoZero"/>
        <c:crossBetween val="midCat"/>
      </c:valAx>
      <c:valAx>
        <c:axId val="134331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Follower Growth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314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1.jpe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160421</xdr:rowOff>
    </xdr:from>
    <xdr:to>
      <xdr:col>6</xdr:col>
      <xdr:colOff>245806</xdr:colOff>
      <xdr:row>17</xdr:row>
      <xdr:rowOff>21131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43D371-FD49-4D91-9A1C-AF6BDF8D79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210483</xdr:colOff>
      <xdr:row>3</xdr:row>
      <xdr:rowOff>81930</xdr:rowOff>
    </xdr:from>
    <xdr:to>
      <xdr:col>15</xdr:col>
      <xdr:colOff>82151</xdr:colOff>
      <xdr:row>17</xdr:row>
      <xdr:rowOff>110505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E3FB748-D68F-419A-8EB4-16E35B7EFD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16</xdr:row>
      <xdr:rowOff>79375</xdr:rowOff>
    </xdr:from>
    <xdr:to>
      <xdr:col>6</xdr:col>
      <xdr:colOff>192767</xdr:colOff>
      <xdr:row>30</xdr:row>
      <xdr:rowOff>131967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B3219FE-160C-476F-A64D-C015A5A7EF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168986</xdr:colOff>
      <xdr:row>17</xdr:row>
      <xdr:rowOff>83348</xdr:rowOff>
    </xdr:from>
    <xdr:to>
      <xdr:col>13</xdr:col>
      <xdr:colOff>369012</xdr:colOff>
      <xdr:row>29</xdr:row>
      <xdr:rowOff>83348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17737AD-FA05-45FE-B8AA-CAFDBA6BDF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79375</xdr:colOff>
      <xdr:row>0</xdr:row>
      <xdr:rowOff>11339</xdr:rowOff>
    </xdr:from>
    <xdr:to>
      <xdr:col>15</xdr:col>
      <xdr:colOff>442233</xdr:colOff>
      <xdr:row>4</xdr:row>
      <xdr:rowOff>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6DE286B1-41BD-3277-FB6C-621D71E43727}"/>
            </a:ext>
          </a:extLst>
        </xdr:cNvPr>
        <xdr:cNvSpPr/>
      </xdr:nvSpPr>
      <xdr:spPr>
        <a:xfrm>
          <a:off x="1302586" y="11339"/>
          <a:ext cx="8313726" cy="750661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/>
            <a:t>Face Book Peek</a:t>
          </a:r>
          <a:r>
            <a:rPr lang="en-IN" sz="1400" baseline="0"/>
            <a:t> Weak -</a:t>
          </a:r>
          <a:r>
            <a:rPr lang="en-IN" sz="14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09 December 2024,</a:t>
          </a:r>
          <a:r>
            <a:rPr lang="en-IN" sz="1400">
              <a:effectLst/>
            </a:rPr>
            <a:t> |</a:t>
          </a:r>
          <a:r>
            <a:rPr lang="en-IN" sz="14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Follower</a:t>
          </a:r>
          <a:r>
            <a:rPr lang="en-IN" sz="14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Gain-</a:t>
          </a:r>
          <a:r>
            <a:rPr lang="en-IN" sz="14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379973|</a:t>
          </a:r>
          <a:r>
            <a:rPr lang="en-IN" sz="1400">
              <a:effectLst/>
            </a:rPr>
            <a:t> </a:t>
          </a:r>
        </a:p>
        <a:p>
          <a:pPr algn="l"/>
          <a:r>
            <a:rPr lang="en-IN" sz="14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Youtube Peak Week-</a:t>
          </a:r>
          <a:r>
            <a:rPr lang="en-IN" sz="14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17 March 2025</a:t>
          </a:r>
          <a:r>
            <a:rPr lang="en-IN" sz="1400">
              <a:effectLst/>
            </a:rPr>
            <a:t>   |Follower Gain-</a:t>
          </a:r>
          <a:r>
            <a:rPr lang="en-IN" sz="14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424551</a:t>
          </a:r>
          <a:r>
            <a:rPr lang="en-IN" sz="1400">
              <a:effectLst/>
            </a:rPr>
            <a:t> |</a:t>
          </a:r>
          <a:endParaRPr lang="en-IN" sz="1400"/>
        </a:p>
      </xdr:txBody>
    </xdr:sp>
    <xdr:clientData/>
  </xdr:twoCellAnchor>
  <xdr:twoCellAnchor editAs="oneCell">
    <xdr:from>
      <xdr:col>10</xdr:col>
      <xdr:colOff>260684</xdr:colOff>
      <xdr:row>0</xdr:row>
      <xdr:rowOff>0</xdr:rowOff>
    </xdr:from>
    <xdr:to>
      <xdr:col>17</xdr:col>
      <xdr:colOff>521369</xdr:colOff>
      <xdr:row>3</xdr:row>
      <xdr:rowOff>170447</xdr:rowOff>
    </xdr:to>
    <xdr:pic>
      <xdr:nvPicPr>
        <xdr:cNvPr id="8" name="Picture 7" descr="Rear view of Tesla roadster">
          <a:extLst>
            <a:ext uri="{FF2B5EF4-FFF2-40B4-BE49-F238E27FC236}">
              <a16:creationId xmlns:a16="http://schemas.microsoft.com/office/drawing/2014/main" id="{065A2D37-6319-1BAA-7AA3-DE2DCA0644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76737" y="0"/>
          <a:ext cx="4541921" cy="741947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941.622889930557" createdVersion="8" refreshedVersion="8" minRefreshableVersion="3" recordCount="200" xr:uid="{358F974F-C201-45A5-B555-19707039A968}">
  <cacheSource type="worksheet">
    <worksheetSource name="Engagement_Summary"/>
  </cacheSource>
  <cacheFields count="7">
    <cacheField name="Week_Start_Date" numFmtId="164">
      <sharedItems containsSemiMixedTypes="0" containsNonDate="0" containsDate="1" containsString="0" minDate="2024-06-03T00:00:00" maxDate="2025-05-13T00:00:00" count="50">
        <d v="2024-06-03T00:00:00"/>
        <d v="2024-06-10T00:00:00"/>
        <d v="2024-06-17T00:00:00"/>
        <d v="2024-06-24T00:00:00"/>
        <d v="2024-07-01T00:00:00"/>
        <d v="2024-07-08T00:00:00"/>
        <d v="2024-07-15T00:00:00"/>
        <d v="2024-07-22T00:00:00"/>
        <d v="2024-07-29T00:00:00"/>
        <d v="2024-08-05T00:00:00"/>
        <d v="2024-08-12T00:00:00"/>
        <d v="2024-08-19T00:00:00"/>
        <d v="2024-08-26T00:00:00"/>
        <d v="2024-09-02T00:00:00"/>
        <d v="2024-09-09T00:00:00"/>
        <d v="2024-09-16T00:00:00"/>
        <d v="2024-09-23T00:00:00"/>
        <d v="2024-09-30T00:00:00"/>
        <d v="2024-10-07T00:00:00"/>
        <d v="2024-10-14T00:00:00"/>
        <d v="2024-10-21T00:00:00"/>
        <d v="2024-10-28T00:00:00"/>
        <d v="2024-11-04T00:00:00"/>
        <d v="2024-11-11T00:00:00"/>
        <d v="2024-11-18T00:00:00"/>
        <d v="2024-11-25T00:00:00"/>
        <d v="2024-12-02T00:00:00"/>
        <d v="2024-12-09T00:00:00"/>
        <d v="2024-12-16T00:00:00"/>
        <d v="2024-12-23T00:00:00"/>
        <d v="2024-12-30T00:00:00"/>
        <d v="2025-01-06T00:00:00"/>
        <d v="2025-01-13T00:00:00"/>
        <d v="2025-01-20T00:00:00"/>
        <d v="2025-01-27T00:00:00"/>
        <d v="2025-02-03T00:00:00"/>
        <d v="2025-02-10T00:00:00"/>
        <d v="2025-02-17T00:00:00"/>
        <d v="2025-02-24T00:00:00"/>
        <d v="2025-03-03T00:00:00"/>
        <d v="2025-03-10T00:00:00"/>
        <d v="2025-03-17T00:00:00"/>
        <d v="2025-03-24T00:00:00"/>
        <d v="2025-03-31T00:00:00"/>
        <d v="2025-04-07T00:00:00"/>
        <d v="2025-04-14T00:00:00"/>
        <d v="2025-04-21T00:00:00"/>
        <d v="2025-04-28T00:00:00"/>
        <d v="2025-05-05T00:00:00"/>
        <d v="2025-05-12T00:00:00"/>
      </sharedItems>
    </cacheField>
    <cacheField name="Platform" numFmtId="0">
      <sharedItems count="4">
        <s v="Instagram"/>
        <s v="Facebook"/>
        <s v="Twitter"/>
        <s v="Youtube"/>
      </sharedItems>
    </cacheField>
    <cacheField name="New_Followers" numFmtId="0">
      <sharedItems containsSemiMixedTypes="0" containsString="0" containsNumber="1" containsInteger="1" minValue="115" maxValue="1980"/>
    </cacheField>
    <cacheField name="Unfollows" numFmtId="0">
      <sharedItems containsSemiMixedTypes="0" containsString="0" containsNumber="1" containsInteger="1" minValue="20" maxValue="498"/>
    </cacheField>
    <cacheField name="Total_Followers" numFmtId="0">
      <sharedItems containsSemiMixedTypes="0" containsString="0" containsNumber="1" containsInteger="1" minValue="11435" maxValue="496982"/>
    </cacheField>
    <cacheField name="Engagement_Rate" numFmtId="0">
      <sharedItems containsSemiMixedTypes="0" containsString="0" containsNumber="1" minValue="1.53" maxValue="9.48"/>
    </cacheField>
    <cacheField name="Ad_Spend" numFmtId="0">
      <sharedItems containsSemiMixedTypes="0" containsString="0" containsNumber="1" containsInteger="1" minValue="1083" maxValue="497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941.803540046298" createdVersion="8" refreshedVersion="8" minRefreshableVersion="3" recordCount="51" xr:uid="{1B052FE2-8145-49F4-84E6-FC95F187430E}">
  <cacheSource type="worksheet">
    <worksheetSource ref="F2:J53" sheet="Moving average calculation"/>
  </cacheSource>
  <cacheFields count="5">
    <cacheField name="Row Labels" numFmtId="164">
      <sharedItems containsDate="1" containsMixedTypes="1" minDate="2024-06-03T00:00:00" maxDate="2025-05-13T00:00:00" count="51">
        <d v="2024-06-03T00:00:00"/>
        <d v="2024-06-10T00:00:00"/>
        <d v="2024-06-17T00:00:00"/>
        <d v="2024-06-24T00:00:00"/>
        <d v="2024-07-01T00:00:00"/>
        <d v="2024-07-08T00:00:00"/>
        <d v="2024-07-15T00:00:00"/>
        <d v="2024-07-22T00:00:00"/>
        <d v="2024-07-29T00:00:00"/>
        <d v="2024-08-05T00:00:00"/>
        <d v="2024-08-12T00:00:00"/>
        <d v="2024-08-19T00:00:00"/>
        <d v="2024-08-26T00:00:00"/>
        <d v="2024-09-02T00:00:00"/>
        <d v="2024-09-09T00:00:00"/>
        <d v="2024-09-16T00:00:00"/>
        <d v="2024-09-23T00:00:00"/>
        <d v="2024-09-30T00:00:00"/>
        <d v="2024-10-07T00:00:00"/>
        <d v="2024-10-14T00:00:00"/>
        <d v="2024-10-21T00:00:00"/>
        <d v="2024-10-28T00:00:00"/>
        <d v="2024-11-04T00:00:00"/>
        <d v="2024-11-11T00:00:00"/>
        <d v="2024-11-18T00:00:00"/>
        <d v="2024-11-25T00:00:00"/>
        <d v="2024-12-02T00:00:00"/>
        <d v="2024-12-09T00:00:00"/>
        <d v="2024-12-16T00:00:00"/>
        <d v="2024-12-23T00:00:00"/>
        <d v="2024-12-30T00:00:00"/>
        <d v="2025-01-06T00:00:00"/>
        <d v="2025-01-13T00:00:00"/>
        <d v="2025-01-20T00:00:00"/>
        <d v="2025-01-27T00:00:00"/>
        <d v="2025-02-03T00:00:00"/>
        <d v="2025-02-10T00:00:00"/>
        <d v="2025-02-17T00:00:00"/>
        <d v="2025-02-24T00:00:00"/>
        <d v="2025-03-03T00:00:00"/>
        <d v="2025-03-10T00:00:00"/>
        <d v="2025-03-17T00:00:00"/>
        <d v="2025-03-24T00:00:00"/>
        <d v="2025-03-31T00:00:00"/>
        <d v="2025-04-07T00:00:00"/>
        <d v="2025-04-14T00:00:00"/>
        <d v="2025-04-21T00:00:00"/>
        <d v="2025-04-28T00:00:00"/>
        <d v="2025-05-05T00:00:00"/>
        <d v="2025-05-12T00:00:00"/>
        <s v="Grand Total"/>
      </sharedItems>
    </cacheField>
    <cacheField name="Facebook" numFmtId="0">
      <sharedItems containsString="0" containsBlank="1" containsNumber="1" minValue="155004" maxValue="394368.8"/>
    </cacheField>
    <cacheField name="Instagram" numFmtId="0">
      <sharedItems containsString="0" containsBlank="1" containsNumber="1" minValue="157281" maxValue="382855.4"/>
    </cacheField>
    <cacheField name="Twitter" numFmtId="0">
      <sharedItems containsString="0" containsBlank="1" containsNumber="1" minValue="92789.4" maxValue="449939.6"/>
    </cacheField>
    <cacheField name="Youtube" numFmtId="0">
      <sharedItems containsString="0" containsBlank="1" containsNumber="1" minValue="91964.2" maxValue="361698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n v="1135"/>
    <n v="88"/>
    <n v="344084"/>
    <n v="8.06"/>
    <n v="5904"/>
  </r>
  <r>
    <x v="0"/>
    <x v="1"/>
    <n v="1312"/>
    <n v="310"/>
    <n v="42654"/>
    <n v="4.9800000000000004"/>
    <n v="9566"/>
  </r>
  <r>
    <x v="0"/>
    <x v="2"/>
    <n v="584"/>
    <n v="169"/>
    <n v="146834"/>
    <n v="8.31"/>
    <n v="26752"/>
  </r>
  <r>
    <x v="0"/>
    <x v="3"/>
    <n v="1535"/>
    <n v="445"/>
    <n v="395536"/>
    <n v="4.1100000000000003"/>
    <n v="30671"/>
  </r>
  <r>
    <x v="1"/>
    <x v="0"/>
    <n v="656"/>
    <n v="139"/>
    <n v="49157"/>
    <n v="9.0500000000000007"/>
    <n v="9920"/>
  </r>
  <r>
    <x v="1"/>
    <x v="1"/>
    <n v="1697"/>
    <n v="414"/>
    <n v="316555"/>
    <n v="2.37"/>
    <n v="7924"/>
  </r>
  <r>
    <x v="1"/>
    <x v="2"/>
    <n v="436"/>
    <n v="250"/>
    <n v="254347"/>
    <n v="4.01"/>
    <n v="8912"/>
  </r>
  <r>
    <x v="1"/>
    <x v="3"/>
    <n v="1197"/>
    <n v="203"/>
    <n v="413878"/>
    <n v="3.16"/>
    <n v="21205"/>
  </r>
  <r>
    <x v="2"/>
    <x v="0"/>
    <n v="1048"/>
    <n v="155"/>
    <n v="456946"/>
    <n v="2.46"/>
    <n v="11329"/>
  </r>
  <r>
    <x v="2"/>
    <x v="1"/>
    <n v="1753"/>
    <n v="371"/>
    <n v="169496"/>
    <n v="8.11"/>
    <n v="46670"/>
  </r>
  <r>
    <x v="2"/>
    <x v="2"/>
    <n v="1335"/>
    <n v="40"/>
    <n v="122732"/>
    <n v="8.19"/>
    <n v="22482"/>
  </r>
  <r>
    <x v="2"/>
    <x v="3"/>
    <n v="403"/>
    <n v="66"/>
    <n v="382851"/>
    <n v="3.49"/>
    <n v="24313"/>
  </r>
  <r>
    <x v="3"/>
    <x v="0"/>
    <n v="911"/>
    <n v="282"/>
    <n v="35664"/>
    <n v="6.92"/>
    <n v="18050"/>
  </r>
  <r>
    <x v="3"/>
    <x v="1"/>
    <n v="1779"/>
    <n v="109"/>
    <n v="26295"/>
    <n v="9.1199999999999992"/>
    <n v="30635"/>
  </r>
  <r>
    <x v="3"/>
    <x v="2"/>
    <n v="1238"/>
    <n v="403"/>
    <n v="298421"/>
    <n v="3.5"/>
    <n v="31280"/>
  </r>
  <r>
    <x v="3"/>
    <x v="3"/>
    <n v="308"/>
    <n v="431"/>
    <n v="426184"/>
    <n v="2.62"/>
    <n v="1783"/>
  </r>
  <r>
    <x v="4"/>
    <x v="0"/>
    <n v="226"/>
    <n v="445"/>
    <n v="419447"/>
    <n v="9.36"/>
    <n v="9566"/>
  </r>
  <r>
    <x v="4"/>
    <x v="1"/>
    <n v="505"/>
    <n v="441"/>
    <n v="220020"/>
    <n v="4.4800000000000004"/>
    <n v="42307"/>
  </r>
  <r>
    <x v="4"/>
    <x v="2"/>
    <n v="1420"/>
    <n v="63"/>
    <n v="315305"/>
    <n v="6.19"/>
    <n v="5914"/>
  </r>
  <r>
    <x v="4"/>
    <x v="3"/>
    <n v="144"/>
    <n v="53"/>
    <n v="113678"/>
    <n v="8.7200000000000006"/>
    <n v="30060"/>
  </r>
  <r>
    <x v="5"/>
    <x v="0"/>
    <n v="1757"/>
    <n v="85"/>
    <n v="58223"/>
    <n v="8.74"/>
    <n v="22728"/>
  </r>
  <r>
    <x v="5"/>
    <x v="1"/>
    <n v="350"/>
    <n v="41"/>
    <n v="251694"/>
    <n v="1.91"/>
    <n v="38610"/>
  </r>
  <r>
    <x v="5"/>
    <x v="2"/>
    <n v="987"/>
    <n v="440"/>
    <n v="389810"/>
    <n v="4.66"/>
    <n v="2932"/>
  </r>
  <r>
    <x v="5"/>
    <x v="3"/>
    <n v="883"/>
    <n v="369"/>
    <n v="233694"/>
    <n v="2.88"/>
    <n v="15071"/>
  </r>
  <r>
    <x v="6"/>
    <x v="0"/>
    <n v="1960"/>
    <n v="115"/>
    <n v="154169"/>
    <n v="3.74"/>
    <n v="10740"/>
  </r>
  <r>
    <x v="6"/>
    <x v="1"/>
    <n v="170"/>
    <n v="334"/>
    <n v="334626"/>
    <n v="6.44"/>
    <n v="43420"/>
  </r>
  <r>
    <x v="6"/>
    <x v="2"/>
    <n v="704"/>
    <n v="275"/>
    <n v="226002"/>
    <n v="8.56"/>
    <n v="32393"/>
  </r>
  <r>
    <x v="6"/>
    <x v="3"/>
    <n v="224"/>
    <n v="64"/>
    <n v="156683"/>
    <n v="4.5599999999999996"/>
    <n v="28474"/>
  </r>
  <r>
    <x v="7"/>
    <x v="0"/>
    <n v="508"/>
    <n v="349"/>
    <n v="473812"/>
    <n v="7.88"/>
    <n v="17328"/>
  </r>
  <r>
    <x v="7"/>
    <x v="1"/>
    <n v="1391"/>
    <n v="430"/>
    <n v="295032"/>
    <n v="7.86"/>
    <n v="26067"/>
  </r>
  <r>
    <x v="7"/>
    <x v="2"/>
    <n v="1701"/>
    <n v="385"/>
    <n v="198278"/>
    <n v="5.34"/>
    <n v="32763"/>
  </r>
  <r>
    <x v="7"/>
    <x v="3"/>
    <n v="804"/>
    <n v="487"/>
    <n v="306564"/>
    <n v="5.52"/>
    <n v="26452"/>
  </r>
  <r>
    <x v="8"/>
    <x v="0"/>
    <n v="653"/>
    <n v="112"/>
    <n v="23664"/>
    <n v="4.05"/>
    <n v="15353"/>
  </r>
  <r>
    <x v="8"/>
    <x v="1"/>
    <n v="160"/>
    <n v="478"/>
    <n v="435034"/>
    <n v="7.73"/>
    <n v="4839"/>
  </r>
  <r>
    <x v="8"/>
    <x v="2"/>
    <n v="1756"/>
    <n v="261"/>
    <n v="287574"/>
    <n v="4.3600000000000003"/>
    <n v="39272"/>
  </r>
  <r>
    <x v="8"/>
    <x v="3"/>
    <n v="576"/>
    <n v="101"/>
    <n v="62499"/>
    <n v="3.48"/>
    <n v="16804"/>
  </r>
  <r>
    <x v="9"/>
    <x v="0"/>
    <n v="645"/>
    <n v="293"/>
    <n v="437968"/>
    <n v="7.83"/>
    <n v="49303"/>
  </r>
  <r>
    <x v="9"/>
    <x v="1"/>
    <n v="214"/>
    <n v="411"/>
    <n v="125034"/>
    <n v="6.11"/>
    <n v="26455"/>
  </r>
  <r>
    <x v="9"/>
    <x v="2"/>
    <n v="826"/>
    <n v="498"/>
    <n v="449994"/>
    <n v="9.43"/>
    <n v="12384"/>
  </r>
  <r>
    <x v="9"/>
    <x v="3"/>
    <n v="460"/>
    <n v="141"/>
    <n v="320650"/>
    <n v="4.04"/>
    <n v="49372"/>
  </r>
  <r>
    <x v="10"/>
    <x v="0"/>
    <n v="1528"/>
    <n v="203"/>
    <n v="489188"/>
    <n v="6.23"/>
    <n v="47101"/>
  </r>
  <r>
    <x v="10"/>
    <x v="1"/>
    <n v="1534"/>
    <n v="200"/>
    <n v="307612"/>
    <n v="6.01"/>
    <n v="37903"/>
  </r>
  <r>
    <x v="10"/>
    <x v="2"/>
    <n v="485"/>
    <n v="448"/>
    <n v="434883"/>
    <n v="8.5500000000000007"/>
    <n v="33258"/>
  </r>
  <r>
    <x v="10"/>
    <x v="3"/>
    <n v="1210"/>
    <n v="178"/>
    <n v="102042"/>
    <n v="5.42"/>
    <n v="6915"/>
  </r>
  <r>
    <x v="11"/>
    <x v="0"/>
    <n v="215"/>
    <n v="139"/>
    <n v="325444"/>
    <n v="3.25"/>
    <n v="35501"/>
  </r>
  <r>
    <x v="11"/>
    <x v="1"/>
    <n v="1078"/>
    <n v="20"/>
    <n v="183924"/>
    <n v="8.84"/>
    <n v="14203"/>
  </r>
  <r>
    <x v="11"/>
    <x v="2"/>
    <n v="1751"/>
    <n v="86"/>
    <n v="188655"/>
    <n v="7.24"/>
    <n v="22206"/>
  </r>
  <r>
    <x v="11"/>
    <x v="3"/>
    <n v="221"/>
    <n v="31"/>
    <n v="87443"/>
    <n v="6.19"/>
    <n v="10283"/>
  </r>
  <r>
    <x v="12"/>
    <x v="0"/>
    <n v="1685"/>
    <n v="76"/>
    <n v="453799"/>
    <n v="5.71"/>
    <n v="24913"/>
  </r>
  <r>
    <x v="12"/>
    <x v="1"/>
    <n v="248"/>
    <n v="211"/>
    <n v="379380"/>
    <n v="9.0399999999999991"/>
    <n v="26925"/>
  </r>
  <r>
    <x v="12"/>
    <x v="2"/>
    <n v="1300"/>
    <n v="71"/>
    <n v="186454"/>
    <n v="3.91"/>
    <n v="9942"/>
  </r>
  <r>
    <x v="12"/>
    <x v="3"/>
    <n v="422"/>
    <n v="394"/>
    <n v="239044"/>
    <n v="7.83"/>
    <n v="32929"/>
  </r>
  <r>
    <x v="13"/>
    <x v="0"/>
    <n v="1429"/>
    <n v="182"/>
    <n v="101332"/>
    <n v="7.16"/>
    <n v="37829"/>
  </r>
  <r>
    <x v="13"/>
    <x v="1"/>
    <n v="1520"/>
    <n v="475"/>
    <n v="496982"/>
    <n v="6.41"/>
    <n v="24384"/>
  </r>
  <r>
    <x v="13"/>
    <x v="2"/>
    <n v="557"/>
    <n v="360"/>
    <n v="318779"/>
    <n v="8.02"/>
    <n v="25797"/>
  </r>
  <r>
    <x v="13"/>
    <x v="3"/>
    <n v="728"/>
    <n v="395"/>
    <n v="370971"/>
    <n v="3.86"/>
    <n v="12646"/>
  </r>
  <r>
    <x v="14"/>
    <x v="0"/>
    <n v="1592"/>
    <n v="20"/>
    <n v="378054"/>
    <n v="9.09"/>
    <n v="26663"/>
  </r>
  <r>
    <x v="14"/>
    <x v="1"/>
    <n v="1842"/>
    <n v="414"/>
    <n v="307524"/>
    <n v="1.76"/>
    <n v="40478"/>
  </r>
  <r>
    <x v="14"/>
    <x v="2"/>
    <n v="751"/>
    <n v="491"/>
    <n v="434047"/>
    <n v="9.24"/>
    <n v="15476"/>
  </r>
  <r>
    <x v="14"/>
    <x v="3"/>
    <n v="1409"/>
    <n v="309"/>
    <n v="64583"/>
    <n v="8.99"/>
    <n v="10217"/>
  </r>
  <r>
    <x v="15"/>
    <x v="0"/>
    <n v="778"/>
    <n v="401"/>
    <n v="50793"/>
    <n v="3.4"/>
    <n v="21939"/>
  </r>
  <r>
    <x v="15"/>
    <x v="1"/>
    <n v="443"/>
    <n v="345"/>
    <n v="474162"/>
    <n v="9.1999999999999993"/>
    <n v="47462"/>
  </r>
  <r>
    <x v="15"/>
    <x v="2"/>
    <n v="1472"/>
    <n v="347"/>
    <n v="392355"/>
    <n v="8.59"/>
    <n v="30270"/>
  </r>
  <r>
    <x v="15"/>
    <x v="3"/>
    <n v="123"/>
    <n v="155"/>
    <n v="119934"/>
    <n v="3.5"/>
    <n v="5442"/>
  </r>
  <r>
    <x v="16"/>
    <x v="0"/>
    <n v="817"/>
    <n v="151"/>
    <n v="422625"/>
    <n v="2.36"/>
    <n v="1083"/>
  </r>
  <r>
    <x v="16"/>
    <x v="1"/>
    <n v="198"/>
    <n v="217"/>
    <n v="239753"/>
    <n v="7.36"/>
    <n v="11901"/>
  </r>
  <r>
    <x v="16"/>
    <x v="2"/>
    <n v="1911"/>
    <n v="231"/>
    <n v="268516"/>
    <n v="8.5500000000000007"/>
    <n v="24018"/>
  </r>
  <r>
    <x v="16"/>
    <x v="3"/>
    <n v="1218"/>
    <n v="212"/>
    <n v="63177"/>
    <n v="8.1300000000000008"/>
    <n v="38883"/>
  </r>
  <r>
    <x v="17"/>
    <x v="0"/>
    <n v="1433"/>
    <n v="408"/>
    <n v="370269"/>
    <n v="3.3"/>
    <n v="30575"/>
  </r>
  <r>
    <x v="17"/>
    <x v="1"/>
    <n v="250"/>
    <n v="429"/>
    <n v="453423"/>
    <n v="1.77"/>
    <n v="2315"/>
  </r>
  <r>
    <x v="17"/>
    <x v="2"/>
    <n v="752"/>
    <n v="153"/>
    <n v="64906"/>
    <n v="2.09"/>
    <n v="12148"/>
  </r>
  <r>
    <x v="17"/>
    <x v="3"/>
    <n v="1918"/>
    <n v="212"/>
    <n v="94360"/>
    <n v="7.36"/>
    <n v="36851"/>
  </r>
  <r>
    <x v="18"/>
    <x v="0"/>
    <n v="1939"/>
    <n v="67"/>
    <n v="187183"/>
    <n v="6.25"/>
    <n v="41215"/>
  </r>
  <r>
    <x v="18"/>
    <x v="1"/>
    <n v="1929"/>
    <n v="267"/>
    <n v="379363"/>
    <n v="1.75"/>
    <n v="43836"/>
  </r>
  <r>
    <x v="18"/>
    <x v="2"/>
    <n v="437"/>
    <n v="330"/>
    <n v="476486"/>
    <n v="4.97"/>
    <n v="4509"/>
  </r>
  <r>
    <x v="18"/>
    <x v="3"/>
    <n v="307"/>
    <n v="189"/>
    <n v="117767"/>
    <n v="9.3000000000000007"/>
    <n v="27822"/>
  </r>
  <r>
    <x v="19"/>
    <x v="0"/>
    <n v="1527"/>
    <n v="303"/>
    <n v="388555"/>
    <n v="8.9"/>
    <n v="36397"/>
  </r>
  <r>
    <x v="19"/>
    <x v="1"/>
    <n v="643"/>
    <n v="358"/>
    <n v="157599"/>
    <n v="3.88"/>
    <n v="7285"/>
  </r>
  <r>
    <x v="19"/>
    <x v="2"/>
    <n v="201"/>
    <n v="221"/>
    <n v="309772"/>
    <n v="5.9"/>
    <n v="33174"/>
  </r>
  <r>
    <x v="19"/>
    <x v="3"/>
    <n v="414"/>
    <n v="47"/>
    <n v="199178"/>
    <n v="1.53"/>
    <n v="6742"/>
  </r>
  <r>
    <x v="20"/>
    <x v="0"/>
    <n v="703"/>
    <n v="441"/>
    <n v="357089"/>
    <n v="6.5"/>
    <n v="32478"/>
  </r>
  <r>
    <x v="20"/>
    <x v="1"/>
    <n v="508"/>
    <n v="69"/>
    <n v="23492"/>
    <n v="3.16"/>
    <n v="42824"/>
  </r>
  <r>
    <x v="20"/>
    <x v="2"/>
    <n v="697"/>
    <n v="61"/>
    <n v="258287"/>
    <n v="8.25"/>
    <n v="21208"/>
  </r>
  <r>
    <x v="20"/>
    <x v="3"/>
    <n v="1707"/>
    <n v="223"/>
    <n v="256910"/>
    <n v="5.41"/>
    <n v="44321"/>
  </r>
  <r>
    <x v="21"/>
    <x v="0"/>
    <n v="642"/>
    <n v="66"/>
    <n v="346522"/>
    <n v="5.85"/>
    <n v="13116"/>
  </r>
  <r>
    <x v="21"/>
    <x v="1"/>
    <n v="859"/>
    <n v="473"/>
    <n v="209987"/>
    <n v="4.46"/>
    <n v="30214"/>
  </r>
  <r>
    <x v="21"/>
    <x v="2"/>
    <n v="191"/>
    <n v="154"/>
    <n v="240550"/>
    <n v="5.22"/>
    <n v="15827"/>
  </r>
  <r>
    <x v="21"/>
    <x v="3"/>
    <n v="1814"/>
    <n v="157"/>
    <n v="305827"/>
    <n v="1.99"/>
    <n v="46643"/>
  </r>
  <r>
    <x v="22"/>
    <x v="0"/>
    <n v="1466"/>
    <n v="69"/>
    <n v="54935"/>
    <n v="6.85"/>
    <n v="36484"/>
  </r>
  <r>
    <x v="22"/>
    <x v="1"/>
    <n v="947"/>
    <n v="407"/>
    <n v="319186"/>
    <n v="3.32"/>
    <n v="4996"/>
  </r>
  <r>
    <x v="22"/>
    <x v="2"/>
    <n v="1821"/>
    <n v="218"/>
    <n v="439080"/>
    <n v="5.68"/>
    <n v="36095"/>
  </r>
  <r>
    <x v="22"/>
    <x v="3"/>
    <n v="1507"/>
    <n v="463"/>
    <n v="258944"/>
    <n v="6.08"/>
    <n v="16443"/>
  </r>
  <r>
    <x v="23"/>
    <x v="0"/>
    <n v="1075"/>
    <n v="173"/>
    <n v="51395"/>
    <n v="4.66"/>
    <n v="47812"/>
  </r>
  <r>
    <x v="23"/>
    <x v="1"/>
    <n v="171"/>
    <n v="277"/>
    <n v="309483"/>
    <n v="8.6999999999999993"/>
    <n v="38452"/>
  </r>
  <r>
    <x v="23"/>
    <x v="2"/>
    <n v="1487"/>
    <n v="337"/>
    <n v="87305"/>
    <n v="2.46"/>
    <n v="30428"/>
  </r>
  <r>
    <x v="23"/>
    <x v="3"/>
    <n v="454"/>
    <n v="105"/>
    <n v="121091"/>
    <n v="7.97"/>
    <n v="9269"/>
  </r>
  <r>
    <x v="24"/>
    <x v="0"/>
    <n v="187"/>
    <n v="236"/>
    <n v="51087"/>
    <n v="9.41"/>
    <n v="29533"/>
  </r>
  <r>
    <x v="24"/>
    <x v="1"/>
    <n v="513"/>
    <n v="441"/>
    <n v="338847"/>
    <n v="2.68"/>
    <n v="39997"/>
  </r>
  <r>
    <x v="24"/>
    <x v="2"/>
    <n v="628"/>
    <n v="183"/>
    <n v="487523"/>
    <n v="7.32"/>
    <n v="5391"/>
  </r>
  <r>
    <x v="24"/>
    <x v="3"/>
    <n v="278"/>
    <n v="218"/>
    <n v="301695"/>
    <n v="4.68"/>
    <n v="22373"/>
  </r>
  <r>
    <x v="25"/>
    <x v="0"/>
    <n v="1854"/>
    <n v="161"/>
    <n v="282466"/>
    <n v="5.17"/>
    <n v="1810"/>
  </r>
  <r>
    <x v="25"/>
    <x v="1"/>
    <n v="1710"/>
    <n v="378"/>
    <n v="336661"/>
    <n v="6.2"/>
    <n v="28498"/>
  </r>
  <r>
    <x v="25"/>
    <x v="2"/>
    <n v="330"/>
    <n v="232"/>
    <n v="88455"/>
    <n v="2.69"/>
    <n v="39530"/>
  </r>
  <r>
    <x v="25"/>
    <x v="3"/>
    <n v="1293"/>
    <n v="408"/>
    <n v="62535"/>
    <n v="8.9"/>
    <n v="37876"/>
  </r>
  <r>
    <x v="26"/>
    <x v="0"/>
    <n v="1696"/>
    <n v="71"/>
    <n v="421957"/>
    <n v="3.79"/>
    <n v="36103"/>
  </r>
  <r>
    <x v="26"/>
    <x v="1"/>
    <n v="1902"/>
    <n v="196"/>
    <n v="470269"/>
    <n v="4.79"/>
    <n v="26103"/>
  </r>
  <r>
    <x v="26"/>
    <x v="2"/>
    <n v="1441"/>
    <n v="268"/>
    <n v="309904"/>
    <n v="6.37"/>
    <n v="3455"/>
  </r>
  <r>
    <x v="26"/>
    <x v="3"/>
    <n v="452"/>
    <n v="161"/>
    <n v="221274"/>
    <n v="2.65"/>
    <n v="40888"/>
  </r>
  <r>
    <x v="27"/>
    <x v="0"/>
    <n v="1494"/>
    <n v="375"/>
    <n v="220616"/>
    <n v="1.81"/>
    <n v="22724"/>
  </r>
  <r>
    <x v="27"/>
    <x v="1"/>
    <n v="1514"/>
    <n v="141"/>
    <n v="35842"/>
    <n v="7.47"/>
    <n v="18601"/>
  </r>
  <r>
    <x v="27"/>
    <x v="2"/>
    <n v="1937"/>
    <n v="210"/>
    <n v="20607"/>
    <n v="4.2"/>
    <n v="20861"/>
  </r>
  <r>
    <x v="27"/>
    <x v="3"/>
    <n v="736"/>
    <n v="163"/>
    <n v="451894"/>
    <n v="5.43"/>
    <n v="46625"/>
  </r>
  <r>
    <x v="28"/>
    <x v="0"/>
    <n v="1502"/>
    <n v="70"/>
    <n v="465553"/>
    <n v="3.32"/>
    <n v="20692"/>
  </r>
  <r>
    <x v="28"/>
    <x v="1"/>
    <n v="1623"/>
    <n v="246"/>
    <n v="415815"/>
    <n v="8.11"/>
    <n v="18656"/>
  </r>
  <r>
    <x v="28"/>
    <x v="2"/>
    <n v="1592"/>
    <n v="233"/>
    <n v="327183"/>
    <n v="6.66"/>
    <n v="13316"/>
  </r>
  <r>
    <x v="28"/>
    <x v="3"/>
    <n v="1004"/>
    <n v="128"/>
    <n v="488901"/>
    <n v="8.09"/>
    <n v="49558"/>
  </r>
  <r>
    <x v="29"/>
    <x v="0"/>
    <n v="1092"/>
    <n v="408"/>
    <n v="280795"/>
    <n v="8.44"/>
    <n v="4683"/>
  </r>
  <r>
    <x v="29"/>
    <x v="1"/>
    <n v="1155"/>
    <n v="425"/>
    <n v="93347"/>
    <n v="2.02"/>
    <n v="47502"/>
  </r>
  <r>
    <x v="29"/>
    <x v="2"/>
    <n v="1137"/>
    <n v="226"/>
    <n v="81119"/>
    <n v="7.74"/>
    <n v="35359"/>
  </r>
  <r>
    <x v="29"/>
    <x v="3"/>
    <n v="1900"/>
    <n v="311"/>
    <n v="25177"/>
    <n v="2.89"/>
    <n v="14154"/>
  </r>
  <r>
    <x v="30"/>
    <x v="0"/>
    <n v="1814"/>
    <n v="49"/>
    <n v="140804"/>
    <n v="1.76"/>
    <n v="4313"/>
  </r>
  <r>
    <x v="30"/>
    <x v="1"/>
    <n v="1980"/>
    <n v="204"/>
    <n v="379431"/>
    <n v="3.09"/>
    <n v="25140"/>
  </r>
  <r>
    <x v="30"/>
    <x v="2"/>
    <n v="1786"/>
    <n v="257"/>
    <n v="274831"/>
    <n v="4.68"/>
    <n v="9118"/>
  </r>
  <r>
    <x v="30"/>
    <x v="3"/>
    <n v="1495"/>
    <n v="35"/>
    <n v="136845"/>
    <n v="4.4800000000000004"/>
    <n v="39931"/>
  </r>
  <r>
    <x v="31"/>
    <x v="0"/>
    <n v="1013"/>
    <n v="110"/>
    <n v="466382"/>
    <n v="5.3"/>
    <n v="37132"/>
  </r>
  <r>
    <x v="31"/>
    <x v="1"/>
    <n v="816"/>
    <n v="196"/>
    <n v="95728"/>
    <n v="8.1999999999999993"/>
    <n v="17951"/>
  </r>
  <r>
    <x v="31"/>
    <x v="2"/>
    <n v="1633"/>
    <n v="445"/>
    <n v="371156"/>
    <n v="2.2200000000000002"/>
    <n v="2798"/>
  </r>
  <r>
    <x v="31"/>
    <x v="3"/>
    <n v="891"/>
    <n v="45"/>
    <n v="95410"/>
    <n v="8.33"/>
    <n v="15045"/>
  </r>
  <r>
    <x v="32"/>
    <x v="0"/>
    <n v="1855"/>
    <n v="133"/>
    <n v="349413"/>
    <n v="3.3"/>
    <n v="14548"/>
  </r>
  <r>
    <x v="32"/>
    <x v="1"/>
    <n v="651"/>
    <n v="353"/>
    <n v="224699"/>
    <n v="5.61"/>
    <n v="45708"/>
  </r>
  <r>
    <x v="32"/>
    <x v="2"/>
    <n v="118"/>
    <n v="262"/>
    <n v="487896"/>
    <n v="2.56"/>
    <n v="12350"/>
  </r>
  <r>
    <x v="32"/>
    <x v="3"/>
    <n v="1331"/>
    <n v="430"/>
    <n v="14437"/>
    <n v="3.29"/>
    <n v="40868"/>
  </r>
  <r>
    <x v="33"/>
    <x v="0"/>
    <n v="1748"/>
    <n v="176"/>
    <n v="383681"/>
    <n v="9.24"/>
    <n v="43122"/>
  </r>
  <r>
    <x v="33"/>
    <x v="1"/>
    <n v="663"/>
    <n v="236"/>
    <n v="479490"/>
    <n v="4.51"/>
    <n v="23853"/>
  </r>
  <r>
    <x v="33"/>
    <x v="2"/>
    <n v="1040"/>
    <n v="149"/>
    <n v="124404"/>
    <n v="5.23"/>
    <n v="45380"/>
  </r>
  <r>
    <x v="33"/>
    <x v="3"/>
    <n v="1166"/>
    <n v="442"/>
    <n v="336949"/>
    <n v="4.68"/>
    <n v="7705"/>
  </r>
  <r>
    <x v="34"/>
    <x v="0"/>
    <n v="115"/>
    <n v="281"/>
    <n v="357265"/>
    <n v="9.23"/>
    <n v="25525"/>
  </r>
  <r>
    <x v="34"/>
    <x v="1"/>
    <n v="1249"/>
    <n v="351"/>
    <n v="321307"/>
    <n v="6.37"/>
    <n v="20560"/>
  </r>
  <r>
    <x v="34"/>
    <x v="2"/>
    <n v="1501"/>
    <n v="75"/>
    <n v="262569"/>
    <n v="2.0099999999999998"/>
    <n v="19119"/>
  </r>
  <r>
    <x v="34"/>
    <x v="3"/>
    <n v="1411"/>
    <n v="186"/>
    <n v="461669"/>
    <n v="3.72"/>
    <n v="43999"/>
  </r>
  <r>
    <x v="35"/>
    <x v="0"/>
    <n v="1556"/>
    <n v="476"/>
    <n v="351556"/>
    <n v="3.89"/>
    <n v="10825"/>
  </r>
  <r>
    <x v="35"/>
    <x v="1"/>
    <n v="1159"/>
    <n v="411"/>
    <n v="135987"/>
    <n v="8.6999999999999993"/>
    <n v="40323"/>
  </r>
  <r>
    <x v="35"/>
    <x v="2"/>
    <n v="927"/>
    <n v="358"/>
    <n v="177554"/>
    <n v="6.95"/>
    <n v="48270"/>
  </r>
  <r>
    <x v="35"/>
    <x v="3"/>
    <n v="152"/>
    <n v="355"/>
    <n v="270766"/>
    <n v="9.48"/>
    <n v="18001"/>
  </r>
  <r>
    <x v="36"/>
    <x v="0"/>
    <n v="1957"/>
    <n v="234"/>
    <n v="222126"/>
    <n v="4.6100000000000003"/>
    <n v="3314"/>
  </r>
  <r>
    <x v="36"/>
    <x v="1"/>
    <n v="1294"/>
    <n v="382"/>
    <n v="309914"/>
    <n v="8.0299999999999994"/>
    <n v="23489"/>
  </r>
  <r>
    <x v="36"/>
    <x v="2"/>
    <n v="1587"/>
    <n v="385"/>
    <n v="126582"/>
    <n v="6.99"/>
    <n v="42832"/>
  </r>
  <r>
    <x v="36"/>
    <x v="3"/>
    <n v="1707"/>
    <n v="263"/>
    <n v="485280"/>
    <n v="9.0299999999999994"/>
    <n v="24494"/>
  </r>
  <r>
    <x v="37"/>
    <x v="0"/>
    <n v="1138"/>
    <n v="173"/>
    <n v="453243"/>
    <n v="2.86"/>
    <n v="44097"/>
  </r>
  <r>
    <x v="37"/>
    <x v="1"/>
    <n v="1895"/>
    <n v="305"/>
    <n v="104967"/>
    <n v="3.85"/>
    <n v="31853"/>
  </r>
  <r>
    <x v="37"/>
    <x v="2"/>
    <n v="362"/>
    <n v="399"/>
    <n v="145608"/>
    <n v="7.3"/>
    <n v="37636"/>
  </r>
  <r>
    <x v="37"/>
    <x v="3"/>
    <n v="1662"/>
    <n v="487"/>
    <n v="105980"/>
    <n v="9.08"/>
    <n v="22996"/>
  </r>
  <r>
    <x v="38"/>
    <x v="0"/>
    <n v="1440"/>
    <n v="65"/>
    <n v="126524"/>
    <n v="4.34"/>
    <n v="49772"/>
  </r>
  <r>
    <x v="38"/>
    <x v="1"/>
    <n v="1884"/>
    <n v="177"/>
    <n v="230448"/>
    <n v="7.8"/>
    <n v="22713"/>
  </r>
  <r>
    <x v="38"/>
    <x v="2"/>
    <n v="861"/>
    <n v="153"/>
    <n v="317007"/>
    <n v="3.85"/>
    <n v="8718"/>
  </r>
  <r>
    <x v="38"/>
    <x v="3"/>
    <n v="1063"/>
    <n v="47"/>
    <n v="464239"/>
    <n v="6.58"/>
    <n v="39031"/>
  </r>
  <r>
    <x v="39"/>
    <x v="0"/>
    <n v="1371"/>
    <n v="56"/>
    <n v="257579"/>
    <n v="8.6199999999999992"/>
    <n v="33799"/>
  </r>
  <r>
    <x v="39"/>
    <x v="1"/>
    <n v="345"/>
    <n v="464"/>
    <n v="366881"/>
    <n v="4.55"/>
    <n v="20553"/>
  </r>
  <r>
    <x v="39"/>
    <x v="2"/>
    <n v="946"/>
    <n v="47"/>
    <n v="466575"/>
    <n v="8.33"/>
    <n v="10002"/>
  </r>
  <r>
    <x v="39"/>
    <x v="3"/>
    <n v="510"/>
    <n v="195"/>
    <n v="224534"/>
    <n v="9.4"/>
    <n v="30987"/>
  </r>
  <r>
    <x v="40"/>
    <x v="0"/>
    <n v="393"/>
    <n v="181"/>
    <n v="462142"/>
    <n v="7.23"/>
    <n v="6296"/>
  </r>
  <r>
    <x v="40"/>
    <x v="1"/>
    <n v="1098"/>
    <n v="190"/>
    <n v="340842"/>
    <n v="9.39"/>
    <n v="21539"/>
  </r>
  <r>
    <x v="40"/>
    <x v="2"/>
    <n v="1399"/>
    <n v="49"/>
    <n v="12471"/>
    <n v="5.12"/>
    <n v="14722"/>
  </r>
  <r>
    <x v="40"/>
    <x v="3"/>
    <n v="1658"/>
    <n v="416"/>
    <n v="98397"/>
    <n v="6.11"/>
    <n v="11383"/>
  </r>
  <r>
    <x v="41"/>
    <x v="0"/>
    <n v="1102"/>
    <n v="422"/>
    <n v="410330"/>
    <n v="7.74"/>
    <n v="9480"/>
  </r>
  <r>
    <x v="41"/>
    <x v="1"/>
    <n v="1358"/>
    <n v="242"/>
    <n v="342129"/>
    <n v="4.9400000000000004"/>
    <n v="29116"/>
  </r>
  <r>
    <x v="41"/>
    <x v="2"/>
    <n v="1077"/>
    <n v="216"/>
    <n v="12447"/>
    <n v="1.8"/>
    <n v="14068"/>
  </r>
  <r>
    <x v="41"/>
    <x v="3"/>
    <n v="1596"/>
    <n v="211"/>
    <n v="17380"/>
    <n v="8.64"/>
    <n v="35801"/>
  </r>
  <r>
    <x v="42"/>
    <x v="0"/>
    <n v="490"/>
    <n v="29"/>
    <n v="364810"/>
    <n v="1.53"/>
    <n v="49077"/>
  </r>
  <r>
    <x v="42"/>
    <x v="1"/>
    <n v="609"/>
    <n v="135"/>
    <n v="373606"/>
    <n v="8.52"/>
    <n v="21453"/>
  </r>
  <r>
    <x v="42"/>
    <x v="2"/>
    <n v="364"/>
    <n v="72"/>
    <n v="211090"/>
    <n v="5.53"/>
    <n v="21061"/>
  </r>
  <r>
    <x v="42"/>
    <x v="3"/>
    <n v="442"/>
    <n v="53"/>
    <n v="441931"/>
    <n v="1.87"/>
    <n v="20059"/>
  </r>
  <r>
    <x v="43"/>
    <x v="0"/>
    <n v="1033"/>
    <n v="392"/>
    <n v="282780"/>
    <n v="6.27"/>
    <n v="23140"/>
  </r>
  <r>
    <x v="43"/>
    <x v="1"/>
    <n v="988"/>
    <n v="474"/>
    <n v="370070"/>
    <n v="9.4600000000000009"/>
    <n v="23461"/>
  </r>
  <r>
    <x v="43"/>
    <x v="2"/>
    <n v="1946"/>
    <n v="270"/>
    <n v="198350"/>
    <n v="7.5"/>
    <n v="11805"/>
  </r>
  <r>
    <x v="43"/>
    <x v="3"/>
    <n v="1957"/>
    <n v="490"/>
    <n v="435726"/>
    <n v="4.7300000000000004"/>
    <n v="15969"/>
  </r>
  <r>
    <x v="44"/>
    <x v="0"/>
    <n v="559"/>
    <n v="392"/>
    <n v="78789"/>
    <n v="3.19"/>
    <n v="2436"/>
  </r>
  <r>
    <x v="44"/>
    <x v="1"/>
    <n v="1307"/>
    <n v="278"/>
    <n v="98596"/>
    <n v="2.4900000000000002"/>
    <n v="47603"/>
  </r>
  <r>
    <x v="44"/>
    <x v="2"/>
    <n v="1432"/>
    <n v="425"/>
    <n v="29589"/>
    <n v="4.5"/>
    <n v="42964"/>
  </r>
  <r>
    <x v="44"/>
    <x v="3"/>
    <n v="623"/>
    <n v="414"/>
    <n v="290354"/>
    <n v="6.49"/>
    <n v="39923"/>
  </r>
  <r>
    <x v="45"/>
    <x v="0"/>
    <n v="198"/>
    <n v="358"/>
    <n v="66682"/>
    <n v="6.73"/>
    <n v="2293"/>
  </r>
  <r>
    <x v="45"/>
    <x v="1"/>
    <n v="198"/>
    <n v="373"/>
    <n v="70707"/>
    <n v="4.83"/>
    <n v="25920"/>
  </r>
  <r>
    <x v="45"/>
    <x v="2"/>
    <n v="353"/>
    <n v="300"/>
    <n v="142507"/>
    <n v="5.3"/>
    <n v="11035"/>
  </r>
  <r>
    <x v="45"/>
    <x v="3"/>
    <n v="520"/>
    <n v="375"/>
    <n v="369525"/>
    <n v="6.54"/>
    <n v="20733"/>
  </r>
  <r>
    <x v="46"/>
    <x v="0"/>
    <n v="961"/>
    <n v="358"/>
    <n v="62942"/>
    <n v="6.8"/>
    <n v="18693"/>
  </r>
  <r>
    <x v="46"/>
    <x v="1"/>
    <n v="1375"/>
    <n v="330"/>
    <n v="377382"/>
    <n v="2.6"/>
    <n v="7875"/>
  </r>
  <r>
    <x v="46"/>
    <x v="2"/>
    <n v="1147"/>
    <n v="388"/>
    <n v="333851"/>
    <n v="2.44"/>
    <n v="8471"/>
  </r>
  <r>
    <x v="46"/>
    <x v="3"/>
    <n v="1707"/>
    <n v="74"/>
    <n v="270958"/>
    <n v="3.09"/>
    <n v="14090"/>
  </r>
  <r>
    <x v="47"/>
    <x v="0"/>
    <n v="1693"/>
    <n v="154"/>
    <n v="445944"/>
    <n v="5.69"/>
    <n v="14216"/>
  </r>
  <r>
    <x v="47"/>
    <x v="1"/>
    <n v="833"/>
    <n v="380"/>
    <n v="224830"/>
    <n v="3.86"/>
    <n v="3582"/>
  </r>
  <r>
    <x v="47"/>
    <x v="2"/>
    <n v="1222"/>
    <n v="274"/>
    <n v="487289"/>
    <n v="3.16"/>
    <n v="32500"/>
  </r>
  <r>
    <x v="47"/>
    <x v="3"/>
    <n v="777"/>
    <n v="140"/>
    <n v="11435"/>
    <n v="1.6"/>
    <n v="6832"/>
  </r>
  <r>
    <x v="48"/>
    <x v="0"/>
    <n v="1957"/>
    <n v="76"/>
    <n v="447902"/>
    <n v="6.09"/>
    <n v="33381"/>
  </r>
  <r>
    <x v="48"/>
    <x v="1"/>
    <n v="405"/>
    <n v="66"/>
    <n v="418696"/>
    <n v="5.59"/>
    <n v="48419"/>
  </r>
  <r>
    <x v="48"/>
    <x v="2"/>
    <n v="1581"/>
    <n v="71"/>
    <n v="484364"/>
    <n v="3.55"/>
    <n v="16149"/>
  </r>
  <r>
    <x v="48"/>
    <x v="3"/>
    <n v="1035"/>
    <n v="171"/>
    <n v="148477"/>
    <n v="5.21"/>
    <n v="7541"/>
  </r>
  <r>
    <x v="49"/>
    <x v="0"/>
    <n v="1765"/>
    <n v="109"/>
    <n v="468301"/>
    <n v="1.82"/>
    <n v="20042"/>
  </r>
  <r>
    <x v="49"/>
    <x v="1"/>
    <n v="837"/>
    <n v="430"/>
    <n v="364820"/>
    <n v="4"/>
    <n v="49400"/>
  </r>
  <r>
    <x v="49"/>
    <x v="2"/>
    <n v="337"/>
    <n v="68"/>
    <n v="456298"/>
    <n v="7.57"/>
    <n v="4007"/>
  </r>
  <r>
    <x v="49"/>
    <x v="3"/>
    <n v="119"/>
    <n v="456"/>
    <n v="82558"/>
    <n v="6.81"/>
    <n v="1217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x v="0"/>
    <m/>
    <m/>
    <m/>
    <m/>
  </r>
  <r>
    <x v="1"/>
    <m/>
    <m/>
    <m/>
    <m/>
  </r>
  <r>
    <x v="2"/>
    <m/>
    <m/>
    <m/>
    <m/>
  </r>
  <r>
    <x v="3"/>
    <m/>
    <m/>
    <m/>
    <m/>
  </r>
  <r>
    <x v="4"/>
    <n v="155004"/>
    <n v="261059.6"/>
    <n v="227527.8"/>
    <n v="346425.4"/>
  </r>
  <r>
    <x v="5"/>
    <n v="196812"/>
    <n v="203887.4"/>
    <n v="276123"/>
    <n v="314057"/>
  </r>
  <r>
    <x v="6"/>
    <n v="200426.2"/>
    <n v="224889.8"/>
    <n v="270454"/>
    <n v="262618"/>
  </r>
  <r>
    <x v="7"/>
    <n v="225533.4"/>
    <n v="228263"/>
    <n v="285563.2"/>
    <n v="247360.6"/>
  </r>
  <r>
    <x v="8"/>
    <n v="307281.2"/>
    <n v="225863"/>
    <n v="283393.8"/>
    <n v="174623.6"/>
  </r>
  <r>
    <x v="9"/>
    <n v="288284"/>
    <n v="229567.2"/>
    <n v="310331.59999999998"/>
    <n v="216018"/>
  </r>
  <r>
    <x v="10"/>
    <n v="299467.59999999998"/>
    <n v="315760.2"/>
    <n v="319346.2"/>
    <n v="189687.6"/>
  </r>
  <r>
    <x v="11"/>
    <n v="269327.2"/>
    <n v="350015.2"/>
    <n v="311876.8"/>
    <n v="175839.6"/>
  </r>
  <r>
    <x v="12"/>
    <n v="286196.8"/>
    <n v="346012.6"/>
    <n v="309512"/>
    <n v="162335.6"/>
  </r>
  <r>
    <x v="13"/>
    <n v="298586.40000000002"/>
    <n v="361546.2"/>
    <n v="315753"/>
    <n v="224030"/>
  </r>
  <r>
    <x v="14"/>
    <n v="335084.40000000002"/>
    <n v="349563.4"/>
    <n v="312563.59999999998"/>
    <n v="172816.6"/>
  </r>
  <r>
    <x v="15"/>
    <n v="368394.4"/>
    <n v="261884.4"/>
    <n v="304058"/>
    <n v="176395"/>
  </r>
  <r>
    <x v="16"/>
    <n v="379560.2"/>
    <n v="281320.59999999998"/>
    <n v="320030.2"/>
    <n v="171541.8"/>
  </r>
  <r>
    <x v="17"/>
    <n v="394368.8"/>
    <n v="264614.59999999998"/>
    <n v="295720.59999999998"/>
    <n v="142605"/>
  </r>
  <r>
    <x v="18"/>
    <n v="370845"/>
    <n v="281784.8"/>
    <n v="327262"/>
    <n v="91964.2"/>
  </r>
  <r>
    <x v="19"/>
    <n v="340860"/>
    <n v="283885"/>
    <n v="302407"/>
    <n v="118883.2"/>
  </r>
  <r>
    <x v="20"/>
    <n v="250726"/>
    <n v="345144.2"/>
    <n v="275593.40000000002"/>
    <n v="146278.39999999999"/>
  </r>
  <r>
    <x v="21"/>
    <n v="244772.8"/>
    <n v="329923.59999999998"/>
    <n v="270000.2"/>
    <n v="194808.4"/>
  </r>
  <r>
    <x v="22"/>
    <n v="217925.4"/>
    <n v="266856.8"/>
    <n v="344835"/>
    <n v="227725.2"/>
  </r>
  <r>
    <x v="23"/>
    <n v="203949.4"/>
    <n v="239699.20000000001"/>
    <n v="266998.8"/>
    <n v="228390"/>
  </r>
  <r>
    <x v="24"/>
    <n v="240199"/>
    <n v="172205.6"/>
    <n v="302549"/>
    <n v="248893.4"/>
  </r>
  <r>
    <x v="25"/>
    <n v="302832.8"/>
    <n v="157281"/>
    <n v="268582.59999999998"/>
    <n v="210018.4"/>
  </r>
  <r>
    <x v="26"/>
    <n v="354889.2"/>
    <n v="172368"/>
    <n v="282453.40000000002"/>
    <n v="193107.8"/>
  </r>
  <r>
    <x v="27"/>
    <n v="298220.40000000002"/>
    <n v="205504.2"/>
    <n v="198758.8"/>
    <n v="231697.8"/>
  </r>
  <r>
    <x v="28"/>
    <n v="319486.8"/>
    <n v="288335.8"/>
    <n v="246734.4"/>
    <n v="305259.8"/>
  </r>
  <r>
    <x v="29"/>
    <n v="270386.8"/>
    <n v="334277.40000000002"/>
    <n v="165453.6"/>
    <n v="249956.2"/>
  </r>
  <r>
    <x v="30"/>
    <n v="278940.79999999999"/>
    <n v="305945"/>
    <n v="202728.8"/>
    <n v="264818.2"/>
  </r>
  <r>
    <x v="31"/>
    <n v="204032.6"/>
    <n v="314830"/>
    <n v="214979.20000000001"/>
    <n v="239645.4"/>
  </r>
  <r>
    <x v="32"/>
    <n v="241804"/>
    <n v="340589.4"/>
    <n v="308437"/>
    <n v="152154"/>
  </r>
  <r>
    <x v="33"/>
    <n v="254539"/>
    <n v="324215"/>
    <n v="267881.2"/>
    <n v="121763.6"/>
  </r>
  <r>
    <x v="34"/>
    <n v="300131"/>
    <n v="339509"/>
    <n v="304171.2"/>
    <n v="209062"/>
  </r>
  <r>
    <x v="35"/>
    <n v="251442.2"/>
    <n v="381659.4"/>
    <n v="284715.8"/>
    <n v="235846.2"/>
  </r>
  <r>
    <x v="36"/>
    <n v="294279.40000000002"/>
    <n v="332808.2"/>
    <n v="235801"/>
    <n v="313820.2"/>
  </r>
  <r>
    <x v="37"/>
    <n v="270333"/>
    <n v="353574.2"/>
    <n v="167343.4"/>
    <n v="332128.8"/>
  </r>
  <r>
    <x v="38"/>
    <n v="220524.6"/>
    <n v="302142.8"/>
    <n v="205864"/>
    <n v="357586.8"/>
  </r>
  <r>
    <x v="39"/>
    <n v="229639.4"/>
    <n v="282205.59999999998"/>
    <n v="246665.2"/>
    <n v="310159.8"/>
  </r>
  <r>
    <x v="40"/>
    <n v="270610.40000000002"/>
    <n v="304322.8"/>
    <n v="213648.6"/>
    <n v="275686"/>
  </r>
  <r>
    <x v="41"/>
    <n v="277053.40000000002"/>
    <n v="341963.6"/>
    <n v="190821.6"/>
    <n v="182106"/>
  </r>
  <r>
    <x v="42"/>
    <n v="330781.2"/>
    <n v="324277"/>
    <n v="203918"/>
    <n v="249296.2"/>
  </r>
  <r>
    <x v="43"/>
    <n v="358705.6"/>
    <n v="355528.2"/>
    <n v="180186.6"/>
    <n v="243593.60000000001"/>
  </r>
  <r>
    <x v="44"/>
    <n v="305048.59999999998"/>
    <n v="319770.2"/>
    <n v="92789.4"/>
    <n v="256757.6"/>
  </r>
  <r>
    <x v="45"/>
    <n v="251021.6"/>
    <n v="240678.2"/>
    <n v="118796.6"/>
    <n v="310983.2"/>
  </r>
  <r>
    <x v="46"/>
    <n v="258072.2"/>
    <n v="171200.6"/>
    <n v="183077.4"/>
    <n v="361698.8"/>
  </r>
  <r>
    <x v="47"/>
    <n v="228317"/>
    <n v="187427.4"/>
    <n v="238317.2"/>
    <n v="275599.59999999998"/>
  </r>
  <r>
    <x v="48"/>
    <n v="238042.2"/>
    <n v="220451.8"/>
    <n v="295520"/>
    <n v="218149.8"/>
  </r>
  <r>
    <x v="49"/>
    <n v="291287"/>
    <n v="298354.2"/>
    <n v="380861.8"/>
    <n v="176590.6"/>
  </r>
  <r>
    <x v="50"/>
    <n v="376542"/>
    <n v="382855.4"/>
    <n v="449939.6"/>
    <n v="200465.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86946F-FE8F-4014-8591-642D105EC0B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G54" firstHeaderRow="1" firstDataRow="2" firstDataCol="1"/>
  <pivotFields count="7">
    <pivotField axis="axisRow" numFmtId="164" showAll="0" sortType="ascending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axis="axisCol" showAll="0">
      <items count="5">
        <item x="1"/>
        <item x="0"/>
        <item x="2"/>
        <item x="3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0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Max of Total_Follower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63615F-F6C5-47CD-9D20-57FD302F1CED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N8:R60" firstHeaderRow="0" firstDataRow="1" firstDataCol="1"/>
  <pivotFields count="5">
    <pivotField axis="axisRow" showAll="0">
      <items count="52">
        <item x="5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dataField="1" showAll="0"/>
    <pivotField dataField="1" showAll="0"/>
    <pivotField dataField="1" showAll="0"/>
    <pivotField dataField="1" showAll="0"/>
  </pivotFields>
  <rowFields count="1">
    <field x="0"/>
  </rowFields>
  <rowItems count="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Facebook" fld="1" subtotal="average" baseField="0" baseItem="4"/>
    <dataField name="Average of Twitter" fld="3" subtotal="average" baseField="0" baseItem="4"/>
    <dataField name="Average of Youtube" fld="4" subtotal="average" baseField="0" baseItem="4"/>
    <dataField name="Average of Instagram" fld="2" subtotal="average" baseField="0" baseItem="4"/>
  </dataFields>
  <chartFormats count="4">
    <chartFormat chart="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66AE31AF-5D96-418F-8D62-D0B8D30079AA}" autoFormatId="16" applyNumberFormats="0" applyBorderFormats="0" applyFontFormats="0" applyPatternFormats="0" applyAlignmentFormats="0" applyWidthHeightFormats="0">
  <queryTableRefresh nextId="34" unboundColumnsRight="1">
    <queryTableFields count="8">
      <queryTableField id="1" name="Week_Start_Date" tableColumnId="1"/>
      <queryTableField id="2" name="Platform" tableColumnId="2"/>
      <queryTableField id="3" name="New_Followers" tableColumnId="3"/>
      <queryTableField id="4" name="Unfollows" tableColumnId="4"/>
      <queryTableField id="5" name="Total_Followers" tableColumnId="5"/>
      <queryTableField id="6" name="Engagement_Rate" tableColumnId="6"/>
      <queryTableField id="7" name="Ad_Spend" tableColumnId="7"/>
      <queryTableField id="33" dataBound="0" tableColumnId="8"/>
    </queryTableFields>
    <queryTableDeletedFields count="19">
      <deletedField name="Column8"/>
      <deletedField name="Column9"/>
      <deletedField name="Column10"/>
      <deletedField name="Column11"/>
      <deletedField name="Column12"/>
      <deletedField name="Column13"/>
      <deletedField name="Column14"/>
      <deletedField name="Column15"/>
      <deletedField name="Column16"/>
      <deletedField name="Column17"/>
      <deletedField name="Column18"/>
      <deletedField name="Column19"/>
      <deletedField name="Column20"/>
      <deletedField name="Column21"/>
      <deletedField name="Column22"/>
      <deletedField name="Column23"/>
      <deletedField name="Column24"/>
      <deletedField name="Column25"/>
      <deletedField name="Column26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9573E789-8696-4315-B93A-3114BDDE4C81}" autoFormatId="16" applyNumberFormats="0" applyBorderFormats="0" applyFontFormats="0" applyPatternFormats="0" applyAlignmentFormats="0" applyWidthHeightFormats="0">
  <queryTableRefresh nextId="34" unboundColumnsRight="1">
    <queryTableFields count="5">
      <queryTableField id="1" name="Week_Start_Date" tableColumnId="1"/>
      <queryTableField id="2" name="Platform" tableColumnId="2"/>
      <queryTableField id="5" name="Total_Followers" tableColumnId="5"/>
      <queryTableField id="7" name="Ad_Spend" tableColumnId="7"/>
      <queryTableField id="33" dataBound="0" tableColumnId="8"/>
    </queryTableFields>
    <queryTableDeletedFields count="22">
      <deletedField name="Column8"/>
      <deletedField name="Column9"/>
      <deletedField name="Column10"/>
      <deletedField name="Column11"/>
      <deletedField name="Column12"/>
      <deletedField name="Column13"/>
      <deletedField name="Column14"/>
      <deletedField name="Column15"/>
      <deletedField name="Column16"/>
      <deletedField name="Column17"/>
      <deletedField name="Column18"/>
      <deletedField name="Column19"/>
      <deletedField name="Column20"/>
      <deletedField name="Column21"/>
      <deletedField name="Column22"/>
      <deletedField name="Column23"/>
      <deletedField name="Column24"/>
      <deletedField name="Column25"/>
      <deletedField name="Column26"/>
      <deletedField name="New_Followers"/>
      <deletedField name="Unfollows"/>
      <deletedField name="Engagement_Rat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160A6F-150E-4C53-AD15-7DA5DD6C6E5C}" name="Engagement_Summary" displayName="Engagement_Summary" ref="A1:H201" tableType="queryTable" totalsRowShown="0" dataDxfId="18">
  <sortState xmlns:xlrd2="http://schemas.microsoft.com/office/spreadsheetml/2017/richdata2" ref="A2:G201">
    <sortCondition ref="A1:A201"/>
  </sortState>
  <tableColumns count="8">
    <tableColumn id="1" xr3:uid="{71966108-2A76-4E7A-8441-CEC8C690ED36}" uniqueName="1" name="Week_Start_Date" queryTableFieldId="1" dataDxfId="17"/>
    <tableColumn id="2" xr3:uid="{0CF29A8B-5699-48E6-88BF-6926449B24BB}" uniqueName="2" name="Platform" queryTableFieldId="2" dataDxfId="16"/>
    <tableColumn id="3" xr3:uid="{FA34570B-D57D-4EED-B7ED-6119298A0DEE}" uniqueName="3" name="New_Followers" queryTableFieldId="3" dataDxfId="15"/>
    <tableColumn id="4" xr3:uid="{8425FD79-584C-4D14-A14C-93CE53791110}" uniqueName="4" name="Unfollows" queryTableFieldId="4" dataDxfId="14"/>
    <tableColumn id="5" xr3:uid="{B3145761-835F-4241-A1AA-AC317004F254}" uniqueName="5" name="Total_Followers" queryTableFieldId="5" dataDxfId="13"/>
    <tableColumn id="6" xr3:uid="{4EC7A756-98BF-4B69-AE3C-B95BD3E118F4}" uniqueName="6" name="Engagement_Rate" queryTableFieldId="6" dataDxfId="12"/>
    <tableColumn id="7" xr3:uid="{338BD757-96B0-4CBF-A719-DCADBE55FD2D}" uniqueName="7" name="Ad_Spend" queryTableFieldId="7" dataDxfId="11"/>
    <tableColumn id="8" xr3:uid="{45EA414F-BD8F-42FA-8DC0-231524BBC528}" uniqueName="8" name="Follower Growth" queryTableFieldId="33" dataDxf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D4D81E-7956-4BF5-A612-A6CE00E76C15}" name="Engagement_Summary3" displayName="Engagement_Summary3" ref="A57:E257" tableType="queryTable" totalsRowShown="0" headerRowDxfId="9" dataDxfId="7" headerRowBorderDxfId="8" tableBorderDxfId="6" totalsRowBorderDxfId="5">
  <sortState xmlns:xlrd2="http://schemas.microsoft.com/office/spreadsheetml/2017/richdata2" ref="A58:D257">
    <sortCondition ref="A1:A201"/>
  </sortState>
  <tableColumns count="5">
    <tableColumn id="1" xr3:uid="{2FB6C059-55A8-4B05-AD0A-442E2C397073}" uniqueName="1" name="Week_Start_Date" queryTableFieldId="1" dataDxfId="4"/>
    <tableColumn id="2" xr3:uid="{1644DEBD-934B-4B05-BD37-C97F15377148}" uniqueName="2" name="Platform" queryTableFieldId="2" dataDxfId="3"/>
    <tableColumn id="5" xr3:uid="{D414E1C1-0114-4A03-B1B6-95D5F431AE01}" uniqueName="5" name="Total_Followers" queryTableFieldId="5" dataDxfId="2"/>
    <tableColumn id="7" xr3:uid="{9D756F40-0528-4824-8CDB-68C3AA7D1296}" uniqueName="7" name="Ad_Spend" queryTableFieldId="7" dataDxfId="1"/>
    <tableColumn id="8" xr3:uid="{6B2305D5-1B09-4D8A-BF43-40FF9D9F428F}" uniqueName="8" name="Follower Growth" queryTableFieldId="3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D1FC157-F690-494A-8CD3-CD7BC2CE9329}">
  <we:reference id="wa200005271" version="2.6.1.0" store="en-US" storeType="OMEX"/>
  <we:alternateReferences>
    <we:reference id="WA200005271" version="2.6.1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01F8C-9DD2-40B4-BDF7-4A1E206350F9}">
  <dimension ref="A1:H201"/>
  <sheetViews>
    <sheetView workbookViewId="0">
      <selection activeCell="J6" sqref="J6"/>
    </sheetView>
  </sheetViews>
  <sheetFormatPr defaultRowHeight="15"/>
  <cols>
    <col min="1" max="1" width="18.85546875" style="27" bestFit="1" customWidth="1"/>
    <col min="2" max="2" width="11" style="27" bestFit="1" customWidth="1"/>
    <col min="3" max="3" width="17" bestFit="1" customWidth="1"/>
    <col min="4" max="4" width="12.28515625" bestFit="1" customWidth="1"/>
    <col min="5" max="5" width="17.42578125" style="27" bestFit="1" customWidth="1"/>
    <col min="6" max="6" width="19.7109375" bestFit="1" customWidth="1"/>
    <col min="7" max="7" width="12.140625" style="27" bestFit="1" customWidth="1"/>
    <col min="8" max="8" width="17.7109375" bestFit="1" customWidth="1"/>
    <col min="9" max="9" width="16" bestFit="1" customWidth="1"/>
    <col min="10" max="10" width="18.140625" bestFit="1" customWidth="1"/>
  </cols>
  <sheetData>
    <row r="1" spans="1:8">
      <c r="A1" s="28" t="s">
        <v>0</v>
      </c>
      <c r="B1" s="26" t="s">
        <v>1</v>
      </c>
      <c r="C1" s="2" t="s">
        <v>2</v>
      </c>
      <c r="D1" s="2" t="s">
        <v>3</v>
      </c>
      <c r="E1" s="26" t="s">
        <v>4</v>
      </c>
      <c r="F1" s="2" t="s">
        <v>5</v>
      </c>
      <c r="G1" s="26" t="s">
        <v>6</v>
      </c>
      <c r="H1" t="s">
        <v>33</v>
      </c>
    </row>
    <row r="2" spans="1:8">
      <c r="A2" s="28">
        <v>45446</v>
      </c>
      <c r="B2" s="26" t="s">
        <v>7</v>
      </c>
      <c r="C2" s="5">
        <v>1135</v>
      </c>
      <c r="D2" s="5">
        <v>88</v>
      </c>
      <c r="E2" s="26">
        <v>344084</v>
      </c>
      <c r="F2" s="5">
        <v>8.06</v>
      </c>
      <c r="G2" s="26">
        <v>5904</v>
      </c>
      <c r="H2" s="6"/>
    </row>
    <row r="3" spans="1:8">
      <c r="A3" s="28">
        <v>45446</v>
      </c>
      <c r="B3" s="26" t="s">
        <v>8</v>
      </c>
      <c r="C3" s="5">
        <v>1312</v>
      </c>
      <c r="D3" s="5">
        <v>310</v>
      </c>
      <c r="E3" s="26">
        <v>42654</v>
      </c>
      <c r="F3" s="5">
        <v>4.9800000000000004</v>
      </c>
      <c r="G3" s="26">
        <v>9566</v>
      </c>
      <c r="H3" s="6"/>
    </row>
    <row r="4" spans="1:8">
      <c r="A4" s="28">
        <v>45446</v>
      </c>
      <c r="B4" s="26" t="s">
        <v>9</v>
      </c>
      <c r="C4" s="5">
        <v>584</v>
      </c>
      <c r="D4" s="5">
        <v>169</v>
      </c>
      <c r="E4" s="26">
        <v>146834</v>
      </c>
      <c r="F4" s="5">
        <v>8.31</v>
      </c>
      <c r="G4" s="26">
        <v>26752</v>
      </c>
      <c r="H4" s="6"/>
    </row>
    <row r="5" spans="1:8">
      <c r="A5" s="28">
        <v>45446</v>
      </c>
      <c r="B5" s="26" t="s">
        <v>10</v>
      </c>
      <c r="C5" s="5">
        <v>1535</v>
      </c>
      <c r="D5" s="5">
        <v>445</v>
      </c>
      <c r="E5" s="26">
        <v>395536</v>
      </c>
      <c r="F5" s="5">
        <v>4.1100000000000003</v>
      </c>
      <c r="G5" s="26">
        <v>30671</v>
      </c>
      <c r="H5" s="6"/>
    </row>
    <row r="6" spans="1:8" s="6" customFormat="1">
      <c r="A6" s="28">
        <v>45453</v>
      </c>
      <c r="B6" s="26" t="s">
        <v>7</v>
      </c>
      <c r="C6" s="5">
        <v>656</v>
      </c>
      <c r="D6" s="5">
        <v>139</v>
      </c>
      <c r="E6" s="26">
        <v>49157</v>
      </c>
      <c r="F6" s="5">
        <v>9.0500000000000007</v>
      </c>
      <c r="G6" s="26">
        <v>9920</v>
      </c>
      <c r="H6" s="6">
        <f>+Engagement_Summary[[#This Row],[Total_Followers]]-E2</f>
        <v>-294927</v>
      </c>
    </row>
    <row r="7" spans="1:8">
      <c r="A7" s="28">
        <v>45453</v>
      </c>
      <c r="B7" s="26" t="s">
        <v>8</v>
      </c>
      <c r="C7" s="5">
        <v>1697</v>
      </c>
      <c r="D7" s="5">
        <v>414</v>
      </c>
      <c r="E7" s="26">
        <v>316555</v>
      </c>
      <c r="F7" s="5">
        <v>2.37</v>
      </c>
      <c r="G7" s="26">
        <v>7924</v>
      </c>
      <c r="H7" s="6">
        <f>+Engagement_Summary[[#This Row],[Total_Followers]]-E3</f>
        <v>273901</v>
      </c>
    </row>
    <row r="8" spans="1:8">
      <c r="A8" s="28">
        <v>45453</v>
      </c>
      <c r="B8" s="26" t="s">
        <v>9</v>
      </c>
      <c r="C8" s="5">
        <v>436</v>
      </c>
      <c r="D8" s="5">
        <v>250</v>
      </c>
      <c r="E8" s="26">
        <v>254347</v>
      </c>
      <c r="F8" s="5">
        <v>4.01</v>
      </c>
      <c r="G8" s="26">
        <v>8912</v>
      </c>
      <c r="H8" s="6">
        <f>+Engagement_Summary[[#This Row],[Total_Followers]]-E4</f>
        <v>107513</v>
      </c>
    </row>
    <row r="9" spans="1:8">
      <c r="A9" s="28">
        <v>45453</v>
      </c>
      <c r="B9" s="26" t="s">
        <v>10</v>
      </c>
      <c r="C9" s="5">
        <v>1197</v>
      </c>
      <c r="D9" s="5">
        <v>203</v>
      </c>
      <c r="E9" s="26">
        <v>413878</v>
      </c>
      <c r="F9" s="5">
        <v>3.16</v>
      </c>
      <c r="G9" s="26">
        <v>21205</v>
      </c>
      <c r="H9" s="6">
        <f>+Engagement_Summary[[#This Row],[Total_Followers]]-E5</f>
        <v>18342</v>
      </c>
    </row>
    <row r="10" spans="1:8">
      <c r="A10" s="28">
        <v>45460</v>
      </c>
      <c r="B10" s="26" t="s">
        <v>7</v>
      </c>
      <c r="C10" s="5">
        <v>1048</v>
      </c>
      <c r="D10" s="5">
        <v>155</v>
      </c>
      <c r="E10" s="26">
        <v>456946</v>
      </c>
      <c r="F10" s="5">
        <v>2.46</v>
      </c>
      <c r="G10" s="26">
        <v>11329</v>
      </c>
      <c r="H10" s="6">
        <f>+Engagement_Summary[[#This Row],[Total_Followers]]-E6</f>
        <v>407789</v>
      </c>
    </row>
    <row r="11" spans="1:8">
      <c r="A11" s="28">
        <v>45460</v>
      </c>
      <c r="B11" s="26" t="s">
        <v>8</v>
      </c>
      <c r="C11" s="5">
        <v>1753</v>
      </c>
      <c r="D11" s="5">
        <v>371</v>
      </c>
      <c r="E11" s="26">
        <v>169496</v>
      </c>
      <c r="F11" s="5">
        <v>8.11</v>
      </c>
      <c r="G11" s="26">
        <v>46670</v>
      </c>
      <c r="H11" s="6">
        <f>+Engagement_Summary[[#This Row],[Total_Followers]]-E7</f>
        <v>-147059</v>
      </c>
    </row>
    <row r="12" spans="1:8">
      <c r="A12" s="28">
        <v>45460</v>
      </c>
      <c r="B12" s="26" t="s">
        <v>9</v>
      </c>
      <c r="C12" s="5">
        <v>1335</v>
      </c>
      <c r="D12" s="5">
        <v>40</v>
      </c>
      <c r="E12" s="26">
        <v>122732</v>
      </c>
      <c r="F12" s="5">
        <v>8.19</v>
      </c>
      <c r="G12" s="26">
        <v>22482</v>
      </c>
      <c r="H12" s="6">
        <f>+Engagement_Summary[[#This Row],[Total_Followers]]-E8</f>
        <v>-131615</v>
      </c>
    </row>
    <row r="13" spans="1:8">
      <c r="A13" s="28">
        <v>45460</v>
      </c>
      <c r="B13" s="26" t="s">
        <v>10</v>
      </c>
      <c r="C13" s="5">
        <v>403</v>
      </c>
      <c r="D13" s="5">
        <v>66</v>
      </c>
      <c r="E13" s="26">
        <v>382851</v>
      </c>
      <c r="F13" s="5">
        <v>3.49</v>
      </c>
      <c r="G13" s="26">
        <v>24313</v>
      </c>
      <c r="H13" s="6">
        <f>+Engagement_Summary[[#This Row],[Total_Followers]]-E9</f>
        <v>-31027</v>
      </c>
    </row>
    <row r="14" spans="1:8">
      <c r="A14" s="28">
        <v>45467</v>
      </c>
      <c r="B14" s="26" t="s">
        <v>7</v>
      </c>
      <c r="C14" s="5">
        <v>911</v>
      </c>
      <c r="D14" s="5">
        <v>282</v>
      </c>
      <c r="E14" s="26">
        <v>35664</v>
      </c>
      <c r="F14" s="5">
        <v>6.92</v>
      </c>
      <c r="G14" s="26">
        <v>18050</v>
      </c>
      <c r="H14" s="6">
        <f>+Engagement_Summary[[#This Row],[Total_Followers]]-E10</f>
        <v>-421282</v>
      </c>
    </row>
    <row r="15" spans="1:8">
      <c r="A15" s="28">
        <v>45467</v>
      </c>
      <c r="B15" s="26" t="s">
        <v>8</v>
      </c>
      <c r="C15" s="5">
        <v>1779</v>
      </c>
      <c r="D15" s="5">
        <v>109</v>
      </c>
      <c r="E15" s="26">
        <v>26295</v>
      </c>
      <c r="F15" s="5">
        <v>9.1199999999999992</v>
      </c>
      <c r="G15" s="26">
        <v>30635</v>
      </c>
      <c r="H15" s="6">
        <f>+Engagement_Summary[[#This Row],[Total_Followers]]-E11</f>
        <v>-143201</v>
      </c>
    </row>
    <row r="16" spans="1:8">
      <c r="A16" s="28">
        <v>45467</v>
      </c>
      <c r="B16" s="26" t="s">
        <v>9</v>
      </c>
      <c r="C16" s="5">
        <v>1238</v>
      </c>
      <c r="D16" s="5">
        <v>403</v>
      </c>
      <c r="E16" s="26">
        <v>298421</v>
      </c>
      <c r="F16" s="5">
        <v>3.5</v>
      </c>
      <c r="G16" s="26">
        <v>31280</v>
      </c>
      <c r="H16" s="6">
        <f>+Engagement_Summary[[#This Row],[Total_Followers]]-E12</f>
        <v>175689</v>
      </c>
    </row>
    <row r="17" spans="1:8">
      <c r="A17" s="28">
        <v>45467</v>
      </c>
      <c r="B17" s="26" t="s">
        <v>10</v>
      </c>
      <c r="C17" s="5">
        <v>308</v>
      </c>
      <c r="D17" s="5">
        <v>431</v>
      </c>
      <c r="E17" s="26">
        <v>426184</v>
      </c>
      <c r="F17" s="5">
        <v>2.62</v>
      </c>
      <c r="G17" s="26">
        <v>1783</v>
      </c>
      <c r="H17" s="6">
        <f>+Engagement_Summary[[#This Row],[Total_Followers]]-E13</f>
        <v>43333</v>
      </c>
    </row>
    <row r="18" spans="1:8">
      <c r="A18" s="28">
        <v>45474</v>
      </c>
      <c r="B18" s="26" t="s">
        <v>7</v>
      </c>
      <c r="C18" s="5">
        <v>226</v>
      </c>
      <c r="D18" s="5">
        <v>445</v>
      </c>
      <c r="E18" s="26">
        <v>419447</v>
      </c>
      <c r="F18" s="5">
        <v>9.36</v>
      </c>
      <c r="G18" s="26">
        <v>9566</v>
      </c>
      <c r="H18" s="6">
        <f>+Engagement_Summary[[#This Row],[Total_Followers]]-E14</f>
        <v>383783</v>
      </c>
    </row>
    <row r="19" spans="1:8">
      <c r="A19" s="28">
        <v>45474</v>
      </c>
      <c r="B19" s="26" t="s">
        <v>8</v>
      </c>
      <c r="C19" s="5">
        <v>505</v>
      </c>
      <c r="D19" s="5">
        <v>441</v>
      </c>
      <c r="E19" s="26">
        <v>220020</v>
      </c>
      <c r="F19" s="5">
        <v>4.4800000000000004</v>
      </c>
      <c r="G19" s="26">
        <v>42307</v>
      </c>
      <c r="H19" s="6">
        <f>+Engagement_Summary[[#This Row],[Total_Followers]]-E15</f>
        <v>193725</v>
      </c>
    </row>
    <row r="20" spans="1:8">
      <c r="A20" s="28">
        <v>45474</v>
      </c>
      <c r="B20" s="26" t="s">
        <v>9</v>
      </c>
      <c r="C20" s="5">
        <v>1420</v>
      </c>
      <c r="D20" s="5">
        <v>63</v>
      </c>
      <c r="E20" s="26">
        <v>315305</v>
      </c>
      <c r="F20" s="5">
        <v>6.19</v>
      </c>
      <c r="G20" s="26">
        <v>5914</v>
      </c>
      <c r="H20" s="6">
        <f>+Engagement_Summary[[#This Row],[Total_Followers]]-E16</f>
        <v>16884</v>
      </c>
    </row>
    <row r="21" spans="1:8">
      <c r="A21" s="28">
        <v>45474</v>
      </c>
      <c r="B21" s="26" t="s">
        <v>10</v>
      </c>
      <c r="C21" s="5">
        <v>144</v>
      </c>
      <c r="D21" s="5">
        <v>53</v>
      </c>
      <c r="E21" s="26">
        <v>113678</v>
      </c>
      <c r="F21" s="5">
        <v>8.7200000000000006</v>
      </c>
      <c r="G21" s="26">
        <v>30060</v>
      </c>
      <c r="H21" s="6">
        <f>+Engagement_Summary[[#This Row],[Total_Followers]]-E17</f>
        <v>-312506</v>
      </c>
    </row>
    <row r="22" spans="1:8">
      <c r="A22" s="28">
        <v>45481</v>
      </c>
      <c r="B22" s="26" t="s">
        <v>7</v>
      </c>
      <c r="C22" s="5">
        <v>1757</v>
      </c>
      <c r="D22" s="5">
        <v>85</v>
      </c>
      <c r="E22" s="26">
        <v>58223</v>
      </c>
      <c r="F22" s="5">
        <v>8.74</v>
      </c>
      <c r="G22" s="26">
        <v>22728</v>
      </c>
      <c r="H22" s="6">
        <f>+Engagement_Summary[[#This Row],[Total_Followers]]-E18</f>
        <v>-361224</v>
      </c>
    </row>
    <row r="23" spans="1:8">
      <c r="A23" s="28">
        <v>45481</v>
      </c>
      <c r="B23" s="26" t="s">
        <v>8</v>
      </c>
      <c r="C23" s="5">
        <v>350</v>
      </c>
      <c r="D23" s="5">
        <v>41</v>
      </c>
      <c r="E23" s="26">
        <v>251694</v>
      </c>
      <c r="F23" s="5">
        <v>1.91</v>
      </c>
      <c r="G23" s="26">
        <v>38610</v>
      </c>
      <c r="H23" s="6">
        <f>+Engagement_Summary[[#This Row],[Total_Followers]]-E19</f>
        <v>31674</v>
      </c>
    </row>
    <row r="24" spans="1:8">
      <c r="A24" s="28">
        <v>45481</v>
      </c>
      <c r="B24" s="26" t="s">
        <v>9</v>
      </c>
      <c r="C24" s="5">
        <v>987</v>
      </c>
      <c r="D24" s="5">
        <v>440</v>
      </c>
      <c r="E24" s="26">
        <v>389810</v>
      </c>
      <c r="F24" s="5">
        <v>4.66</v>
      </c>
      <c r="G24" s="26">
        <v>2932</v>
      </c>
      <c r="H24" s="6">
        <f>+Engagement_Summary[[#This Row],[Total_Followers]]-E20</f>
        <v>74505</v>
      </c>
    </row>
    <row r="25" spans="1:8">
      <c r="A25" s="28">
        <v>45481</v>
      </c>
      <c r="B25" s="26" t="s">
        <v>10</v>
      </c>
      <c r="C25" s="5">
        <v>883</v>
      </c>
      <c r="D25" s="5">
        <v>369</v>
      </c>
      <c r="E25" s="26">
        <v>233694</v>
      </c>
      <c r="F25" s="5">
        <v>2.88</v>
      </c>
      <c r="G25" s="26">
        <v>15071</v>
      </c>
      <c r="H25" s="6">
        <f>+Engagement_Summary[[#This Row],[Total_Followers]]-E21</f>
        <v>120016</v>
      </c>
    </row>
    <row r="26" spans="1:8">
      <c r="A26" s="28">
        <v>45488</v>
      </c>
      <c r="B26" s="26" t="s">
        <v>7</v>
      </c>
      <c r="C26" s="5">
        <v>1960</v>
      </c>
      <c r="D26" s="5">
        <v>115</v>
      </c>
      <c r="E26" s="26">
        <v>154169</v>
      </c>
      <c r="F26" s="5">
        <v>3.74</v>
      </c>
      <c r="G26" s="26">
        <v>10740</v>
      </c>
      <c r="H26" s="6">
        <f>+Engagement_Summary[[#This Row],[Total_Followers]]-E22</f>
        <v>95946</v>
      </c>
    </row>
    <row r="27" spans="1:8">
      <c r="A27" s="28">
        <v>45488</v>
      </c>
      <c r="B27" s="26" t="s">
        <v>8</v>
      </c>
      <c r="C27" s="5">
        <v>170</v>
      </c>
      <c r="D27" s="5">
        <v>334</v>
      </c>
      <c r="E27" s="26">
        <v>334626</v>
      </c>
      <c r="F27" s="5">
        <v>6.44</v>
      </c>
      <c r="G27" s="26">
        <v>43420</v>
      </c>
      <c r="H27" s="6">
        <f>+Engagement_Summary[[#This Row],[Total_Followers]]-E23</f>
        <v>82932</v>
      </c>
    </row>
    <row r="28" spans="1:8">
      <c r="A28" s="28">
        <v>45488</v>
      </c>
      <c r="B28" s="26" t="s">
        <v>9</v>
      </c>
      <c r="C28" s="5">
        <v>704</v>
      </c>
      <c r="D28" s="5">
        <v>275</v>
      </c>
      <c r="E28" s="26">
        <v>226002</v>
      </c>
      <c r="F28" s="5">
        <v>8.56</v>
      </c>
      <c r="G28" s="26">
        <v>32393</v>
      </c>
      <c r="H28" s="6">
        <f>+Engagement_Summary[[#This Row],[Total_Followers]]-E24</f>
        <v>-163808</v>
      </c>
    </row>
    <row r="29" spans="1:8">
      <c r="A29" s="28">
        <v>45488</v>
      </c>
      <c r="B29" s="26" t="s">
        <v>10</v>
      </c>
      <c r="C29" s="5">
        <v>224</v>
      </c>
      <c r="D29" s="5">
        <v>64</v>
      </c>
      <c r="E29" s="26">
        <v>156683</v>
      </c>
      <c r="F29" s="5">
        <v>4.5599999999999996</v>
      </c>
      <c r="G29" s="26">
        <v>28474</v>
      </c>
      <c r="H29" s="6">
        <f>+Engagement_Summary[[#This Row],[Total_Followers]]-E25</f>
        <v>-77011</v>
      </c>
    </row>
    <row r="30" spans="1:8" s="3" customFormat="1">
      <c r="A30" s="28">
        <v>45495</v>
      </c>
      <c r="B30" s="26" t="s">
        <v>7</v>
      </c>
      <c r="C30" s="5">
        <v>508</v>
      </c>
      <c r="D30" s="5">
        <v>349</v>
      </c>
      <c r="E30" s="26">
        <v>473812</v>
      </c>
      <c r="F30" s="5">
        <v>7.88</v>
      </c>
      <c r="G30" s="26">
        <v>17328</v>
      </c>
      <c r="H30" s="6">
        <f>+Engagement_Summary[[#This Row],[Total_Followers]]-E26</f>
        <v>319643</v>
      </c>
    </row>
    <row r="31" spans="1:8">
      <c r="A31" s="28">
        <v>45495</v>
      </c>
      <c r="B31" s="26" t="s">
        <v>8</v>
      </c>
      <c r="C31" s="5">
        <v>1391</v>
      </c>
      <c r="D31" s="5">
        <v>430</v>
      </c>
      <c r="E31" s="26">
        <v>295032</v>
      </c>
      <c r="F31" s="5">
        <v>7.86</v>
      </c>
      <c r="G31" s="26">
        <v>26067</v>
      </c>
      <c r="H31" s="6">
        <f>+Engagement_Summary[[#This Row],[Total_Followers]]-E27</f>
        <v>-39594</v>
      </c>
    </row>
    <row r="32" spans="1:8">
      <c r="A32" s="28">
        <v>45495</v>
      </c>
      <c r="B32" s="26" t="s">
        <v>9</v>
      </c>
      <c r="C32" s="5">
        <v>1701</v>
      </c>
      <c r="D32" s="5">
        <v>385</v>
      </c>
      <c r="E32" s="26">
        <v>198278</v>
      </c>
      <c r="F32" s="5">
        <v>5.34</v>
      </c>
      <c r="G32" s="26">
        <v>32763</v>
      </c>
      <c r="H32" s="6">
        <f>+Engagement_Summary[[#This Row],[Total_Followers]]-E28</f>
        <v>-27724</v>
      </c>
    </row>
    <row r="33" spans="1:8">
      <c r="A33" s="28">
        <v>45495</v>
      </c>
      <c r="B33" s="26" t="s">
        <v>10</v>
      </c>
      <c r="C33" s="5">
        <v>804</v>
      </c>
      <c r="D33" s="5">
        <v>487</v>
      </c>
      <c r="E33" s="26">
        <v>306564</v>
      </c>
      <c r="F33" s="5">
        <v>5.52</v>
      </c>
      <c r="G33" s="26">
        <v>26452</v>
      </c>
      <c r="H33" s="6">
        <f>+Engagement_Summary[[#This Row],[Total_Followers]]-E29</f>
        <v>149881</v>
      </c>
    </row>
    <row r="34" spans="1:8">
      <c r="A34" s="28">
        <v>45502</v>
      </c>
      <c r="B34" s="26" t="s">
        <v>7</v>
      </c>
      <c r="C34" s="5">
        <v>653</v>
      </c>
      <c r="D34" s="5">
        <v>112</v>
      </c>
      <c r="E34" s="26">
        <v>23664</v>
      </c>
      <c r="F34" s="5">
        <v>4.05</v>
      </c>
      <c r="G34" s="26">
        <v>15353</v>
      </c>
      <c r="H34" s="6">
        <f>+Engagement_Summary[[#This Row],[Total_Followers]]-E30</f>
        <v>-450148</v>
      </c>
    </row>
    <row r="35" spans="1:8">
      <c r="A35" s="28">
        <v>45502</v>
      </c>
      <c r="B35" s="26" t="s">
        <v>8</v>
      </c>
      <c r="C35" s="5">
        <v>160</v>
      </c>
      <c r="D35" s="5">
        <v>478</v>
      </c>
      <c r="E35" s="26">
        <v>435034</v>
      </c>
      <c r="F35" s="5">
        <v>7.73</v>
      </c>
      <c r="G35" s="26">
        <v>4839</v>
      </c>
      <c r="H35" s="6">
        <f>+Engagement_Summary[[#This Row],[Total_Followers]]-E31</f>
        <v>140002</v>
      </c>
    </row>
    <row r="36" spans="1:8">
      <c r="A36" s="28">
        <v>45502</v>
      </c>
      <c r="B36" s="26" t="s">
        <v>9</v>
      </c>
      <c r="C36" s="5">
        <v>1756</v>
      </c>
      <c r="D36" s="5">
        <v>261</v>
      </c>
      <c r="E36" s="26">
        <v>287574</v>
      </c>
      <c r="F36" s="5">
        <v>4.3600000000000003</v>
      </c>
      <c r="G36" s="26">
        <v>39272</v>
      </c>
      <c r="H36" s="6">
        <f>+Engagement_Summary[[#This Row],[Total_Followers]]-E32</f>
        <v>89296</v>
      </c>
    </row>
    <row r="37" spans="1:8">
      <c r="A37" s="28">
        <v>45502</v>
      </c>
      <c r="B37" s="26" t="s">
        <v>10</v>
      </c>
      <c r="C37" s="5">
        <v>576</v>
      </c>
      <c r="D37" s="5">
        <v>101</v>
      </c>
      <c r="E37" s="26">
        <v>62499</v>
      </c>
      <c r="F37" s="5">
        <v>3.48</v>
      </c>
      <c r="G37" s="26">
        <v>16804</v>
      </c>
      <c r="H37" s="6">
        <f>+Engagement_Summary[[#This Row],[Total_Followers]]-E33</f>
        <v>-244065</v>
      </c>
    </row>
    <row r="38" spans="1:8">
      <c r="A38" s="28">
        <v>45509</v>
      </c>
      <c r="B38" s="26" t="s">
        <v>7</v>
      </c>
      <c r="C38" s="5">
        <v>645</v>
      </c>
      <c r="D38" s="5">
        <v>293</v>
      </c>
      <c r="E38" s="26">
        <v>437968</v>
      </c>
      <c r="F38" s="5">
        <v>7.83</v>
      </c>
      <c r="G38" s="26">
        <v>49303</v>
      </c>
      <c r="H38" s="6">
        <f>+Engagement_Summary[[#This Row],[Total_Followers]]-E34</f>
        <v>414304</v>
      </c>
    </row>
    <row r="39" spans="1:8">
      <c r="A39" s="28">
        <v>45509</v>
      </c>
      <c r="B39" s="26" t="s">
        <v>8</v>
      </c>
      <c r="C39" s="5">
        <v>214</v>
      </c>
      <c r="D39" s="5">
        <v>411</v>
      </c>
      <c r="E39" s="26">
        <v>125034</v>
      </c>
      <c r="F39" s="5">
        <v>6.11</v>
      </c>
      <c r="G39" s="26">
        <v>26455</v>
      </c>
      <c r="H39" s="6">
        <f>+Engagement_Summary[[#This Row],[Total_Followers]]-E35</f>
        <v>-310000</v>
      </c>
    </row>
    <row r="40" spans="1:8">
      <c r="A40" s="28">
        <v>45509</v>
      </c>
      <c r="B40" s="26" t="s">
        <v>9</v>
      </c>
      <c r="C40" s="5">
        <v>826</v>
      </c>
      <c r="D40" s="5">
        <v>498</v>
      </c>
      <c r="E40" s="26">
        <v>449994</v>
      </c>
      <c r="F40" s="5">
        <v>9.43</v>
      </c>
      <c r="G40" s="26">
        <v>12384</v>
      </c>
      <c r="H40" s="6">
        <f>+Engagement_Summary[[#This Row],[Total_Followers]]-E36</f>
        <v>162420</v>
      </c>
    </row>
    <row r="41" spans="1:8">
      <c r="A41" s="28">
        <v>45509</v>
      </c>
      <c r="B41" s="26" t="s">
        <v>10</v>
      </c>
      <c r="C41" s="5">
        <v>460</v>
      </c>
      <c r="D41" s="5">
        <v>141</v>
      </c>
      <c r="E41" s="26">
        <v>320650</v>
      </c>
      <c r="F41" s="5">
        <v>4.04</v>
      </c>
      <c r="G41" s="26">
        <v>49372</v>
      </c>
      <c r="H41" s="6">
        <f>+Engagement_Summary[[#This Row],[Total_Followers]]-E37</f>
        <v>258151</v>
      </c>
    </row>
    <row r="42" spans="1:8">
      <c r="A42" s="28">
        <v>45516</v>
      </c>
      <c r="B42" s="26" t="s">
        <v>7</v>
      </c>
      <c r="C42" s="5">
        <v>1528</v>
      </c>
      <c r="D42" s="5">
        <v>203</v>
      </c>
      <c r="E42" s="26">
        <v>489188</v>
      </c>
      <c r="F42" s="5">
        <v>6.23</v>
      </c>
      <c r="G42" s="26">
        <v>47101</v>
      </c>
      <c r="H42" s="6">
        <f>+Engagement_Summary[[#This Row],[Total_Followers]]-E38</f>
        <v>51220</v>
      </c>
    </row>
    <row r="43" spans="1:8">
      <c r="A43" s="28">
        <v>45516</v>
      </c>
      <c r="B43" s="26" t="s">
        <v>8</v>
      </c>
      <c r="C43" s="5">
        <v>1534</v>
      </c>
      <c r="D43" s="5">
        <v>200</v>
      </c>
      <c r="E43" s="26">
        <v>307612</v>
      </c>
      <c r="F43" s="5">
        <v>6.01</v>
      </c>
      <c r="G43" s="26">
        <v>37903</v>
      </c>
      <c r="H43" s="6">
        <f>+Engagement_Summary[[#This Row],[Total_Followers]]-E39</f>
        <v>182578</v>
      </c>
    </row>
    <row r="44" spans="1:8">
      <c r="A44" s="28">
        <v>45516</v>
      </c>
      <c r="B44" s="26" t="s">
        <v>9</v>
      </c>
      <c r="C44" s="5">
        <v>485</v>
      </c>
      <c r="D44" s="5">
        <v>448</v>
      </c>
      <c r="E44" s="26">
        <v>434883</v>
      </c>
      <c r="F44" s="5">
        <v>8.5500000000000007</v>
      </c>
      <c r="G44" s="26">
        <v>33258</v>
      </c>
      <c r="H44" s="6">
        <f>+Engagement_Summary[[#This Row],[Total_Followers]]-E40</f>
        <v>-15111</v>
      </c>
    </row>
    <row r="45" spans="1:8">
      <c r="A45" s="28">
        <v>45516</v>
      </c>
      <c r="B45" s="26" t="s">
        <v>10</v>
      </c>
      <c r="C45" s="5">
        <v>1210</v>
      </c>
      <c r="D45" s="5">
        <v>178</v>
      </c>
      <c r="E45" s="26">
        <v>102042</v>
      </c>
      <c r="F45" s="5">
        <v>5.42</v>
      </c>
      <c r="G45" s="26">
        <v>6915</v>
      </c>
      <c r="H45" s="6">
        <f>+Engagement_Summary[[#This Row],[Total_Followers]]-E41</f>
        <v>-218608</v>
      </c>
    </row>
    <row r="46" spans="1:8">
      <c r="A46" s="28">
        <v>45523</v>
      </c>
      <c r="B46" s="26" t="s">
        <v>7</v>
      </c>
      <c r="C46" s="5">
        <v>215</v>
      </c>
      <c r="D46" s="5">
        <v>139</v>
      </c>
      <c r="E46" s="26">
        <v>325444</v>
      </c>
      <c r="F46" s="5">
        <v>3.25</v>
      </c>
      <c r="G46" s="26">
        <v>35501</v>
      </c>
      <c r="H46" s="6">
        <f>+Engagement_Summary[[#This Row],[Total_Followers]]-E42</f>
        <v>-163744</v>
      </c>
    </row>
    <row r="47" spans="1:8">
      <c r="A47" s="28">
        <v>45523</v>
      </c>
      <c r="B47" s="26" t="s">
        <v>8</v>
      </c>
      <c r="C47" s="5">
        <v>1078</v>
      </c>
      <c r="D47" s="5">
        <v>20</v>
      </c>
      <c r="E47" s="26">
        <v>183924</v>
      </c>
      <c r="F47" s="5">
        <v>8.84</v>
      </c>
      <c r="G47" s="26">
        <v>14203</v>
      </c>
      <c r="H47" s="6">
        <f>+Engagement_Summary[[#This Row],[Total_Followers]]-E43</f>
        <v>-123688</v>
      </c>
    </row>
    <row r="48" spans="1:8">
      <c r="A48" s="28">
        <v>45523</v>
      </c>
      <c r="B48" s="26" t="s">
        <v>9</v>
      </c>
      <c r="C48" s="5">
        <v>1751</v>
      </c>
      <c r="D48" s="5">
        <v>86</v>
      </c>
      <c r="E48" s="26">
        <v>188655</v>
      </c>
      <c r="F48" s="5">
        <v>7.24</v>
      </c>
      <c r="G48" s="26">
        <v>22206</v>
      </c>
      <c r="H48" s="6">
        <f>+Engagement_Summary[[#This Row],[Total_Followers]]-E44</f>
        <v>-246228</v>
      </c>
    </row>
    <row r="49" spans="1:8">
      <c r="A49" s="28">
        <v>45523</v>
      </c>
      <c r="B49" s="26" t="s">
        <v>10</v>
      </c>
      <c r="C49" s="5">
        <v>221</v>
      </c>
      <c r="D49" s="5">
        <v>31</v>
      </c>
      <c r="E49" s="26">
        <v>87443</v>
      </c>
      <c r="F49" s="5">
        <v>6.19</v>
      </c>
      <c r="G49" s="26">
        <v>10283</v>
      </c>
      <c r="H49" s="6">
        <f>+Engagement_Summary[[#This Row],[Total_Followers]]-E45</f>
        <v>-14599</v>
      </c>
    </row>
    <row r="50" spans="1:8">
      <c r="A50" s="28">
        <v>45530</v>
      </c>
      <c r="B50" s="26" t="s">
        <v>7</v>
      </c>
      <c r="C50" s="5">
        <v>1685</v>
      </c>
      <c r="D50" s="5">
        <v>76</v>
      </c>
      <c r="E50" s="26">
        <v>453799</v>
      </c>
      <c r="F50" s="5">
        <v>5.71</v>
      </c>
      <c r="G50" s="26">
        <v>24913</v>
      </c>
      <c r="H50" s="6">
        <f>+Engagement_Summary[[#This Row],[Total_Followers]]-E46</f>
        <v>128355</v>
      </c>
    </row>
    <row r="51" spans="1:8">
      <c r="A51" s="28">
        <v>45530</v>
      </c>
      <c r="B51" s="26" t="s">
        <v>8</v>
      </c>
      <c r="C51" s="5">
        <v>248</v>
      </c>
      <c r="D51" s="5">
        <v>211</v>
      </c>
      <c r="E51" s="26">
        <v>379380</v>
      </c>
      <c r="F51" s="5">
        <v>9.0399999999999991</v>
      </c>
      <c r="G51" s="26">
        <v>26925</v>
      </c>
      <c r="H51" s="6">
        <f>+Engagement_Summary[[#This Row],[Total_Followers]]-E47</f>
        <v>195456</v>
      </c>
    </row>
    <row r="52" spans="1:8">
      <c r="A52" s="28">
        <v>45530</v>
      </c>
      <c r="B52" s="26" t="s">
        <v>9</v>
      </c>
      <c r="C52" s="5">
        <v>1300</v>
      </c>
      <c r="D52" s="5">
        <v>71</v>
      </c>
      <c r="E52" s="26">
        <v>186454</v>
      </c>
      <c r="F52" s="5">
        <v>3.91</v>
      </c>
      <c r="G52" s="26">
        <v>9942</v>
      </c>
      <c r="H52" s="6">
        <f>+Engagement_Summary[[#This Row],[Total_Followers]]-E48</f>
        <v>-2201</v>
      </c>
    </row>
    <row r="53" spans="1:8">
      <c r="A53" s="28">
        <v>45530</v>
      </c>
      <c r="B53" s="26" t="s">
        <v>10</v>
      </c>
      <c r="C53" s="5">
        <v>422</v>
      </c>
      <c r="D53" s="5">
        <v>394</v>
      </c>
      <c r="E53" s="26">
        <v>239044</v>
      </c>
      <c r="F53" s="5">
        <v>7.83</v>
      </c>
      <c r="G53" s="26">
        <v>32929</v>
      </c>
      <c r="H53" s="6">
        <f>+Engagement_Summary[[#This Row],[Total_Followers]]-E49</f>
        <v>151601</v>
      </c>
    </row>
    <row r="54" spans="1:8">
      <c r="A54" s="28">
        <v>45537</v>
      </c>
      <c r="B54" s="26" t="s">
        <v>7</v>
      </c>
      <c r="C54" s="5">
        <v>1429</v>
      </c>
      <c r="D54" s="5">
        <v>182</v>
      </c>
      <c r="E54" s="26">
        <v>101332</v>
      </c>
      <c r="F54" s="5">
        <v>7.16</v>
      </c>
      <c r="G54" s="26">
        <v>37829</v>
      </c>
      <c r="H54" s="6">
        <f>+Engagement_Summary[[#This Row],[Total_Followers]]-E50</f>
        <v>-352467</v>
      </c>
    </row>
    <row r="55" spans="1:8">
      <c r="A55" s="28">
        <v>45537</v>
      </c>
      <c r="B55" s="26" t="s">
        <v>8</v>
      </c>
      <c r="C55" s="5">
        <v>1520</v>
      </c>
      <c r="D55" s="5">
        <v>475</v>
      </c>
      <c r="E55" s="26">
        <v>496982</v>
      </c>
      <c r="F55" s="5">
        <v>6.41</v>
      </c>
      <c r="G55" s="26">
        <v>24384</v>
      </c>
      <c r="H55" s="6">
        <f>+Engagement_Summary[[#This Row],[Total_Followers]]-E51</f>
        <v>117602</v>
      </c>
    </row>
    <row r="56" spans="1:8">
      <c r="A56" s="28">
        <v>45537</v>
      </c>
      <c r="B56" s="26" t="s">
        <v>9</v>
      </c>
      <c r="C56" s="5">
        <v>557</v>
      </c>
      <c r="D56" s="5">
        <v>360</v>
      </c>
      <c r="E56" s="26">
        <v>318779</v>
      </c>
      <c r="F56" s="5">
        <v>8.02</v>
      </c>
      <c r="G56" s="26">
        <v>25797</v>
      </c>
      <c r="H56" s="6">
        <f>+Engagement_Summary[[#This Row],[Total_Followers]]-E52</f>
        <v>132325</v>
      </c>
    </row>
    <row r="57" spans="1:8">
      <c r="A57" s="28">
        <v>45537</v>
      </c>
      <c r="B57" s="26" t="s">
        <v>10</v>
      </c>
      <c r="C57" s="5">
        <v>728</v>
      </c>
      <c r="D57" s="5">
        <v>395</v>
      </c>
      <c r="E57" s="26">
        <v>370971</v>
      </c>
      <c r="F57" s="5">
        <v>3.86</v>
      </c>
      <c r="G57" s="26">
        <v>12646</v>
      </c>
      <c r="H57" s="6">
        <f>+Engagement_Summary[[#This Row],[Total_Followers]]-E53</f>
        <v>131927</v>
      </c>
    </row>
    <row r="58" spans="1:8">
      <c r="A58" s="28">
        <v>45544</v>
      </c>
      <c r="B58" s="26" t="s">
        <v>7</v>
      </c>
      <c r="C58" s="5">
        <v>1592</v>
      </c>
      <c r="D58" s="5">
        <v>20</v>
      </c>
      <c r="E58" s="26">
        <v>378054</v>
      </c>
      <c r="F58" s="5">
        <v>9.09</v>
      </c>
      <c r="G58" s="26">
        <v>26663</v>
      </c>
      <c r="H58" s="6">
        <f>+Engagement_Summary[[#This Row],[Total_Followers]]-E54</f>
        <v>276722</v>
      </c>
    </row>
    <row r="59" spans="1:8">
      <c r="A59" s="28">
        <v>45544</v>
      </c>
      <c r="B59" s="26" t="s">
        <v>8</v>
      </c>
      <c r="C59" s="5">
        <v>1842</v>
      </c>
      <c r="D59" s="5">
        <v>414</v>
      </c>
      <c r="E59" s="26">
        <v>307524</v>
      </c>
      <c r="F59" s="5">
        <v>1.76</v>
      </c>
      <c r="G59" s="26">
        <v>40478</v>
      </c>
      <c r="H59" s="6">
        <f>+Engagement_Summary[[#This Row],[Total_Followers]]-E55</f>
        <v>-189458</v>
      </c>
    </row>
    <row r="60" spans="1:8">
      <c r="A60" s="28">
        <v>45544</v>
      </c>
      <c r="B60" s="26" t="s">
        <v>9</v>
      </c>
      <c r="C60" s="5">
        <v>751</v>
      </c>
      <c r="D60" s="5">
        <v>491</v>
      </c>
      <c r="E60" s="26">
        <v>434047</v>
      </c>
      <c r="F60" s="5">
        <v>9.24</v>
      </c>
      <c r="G60" s="26">
        <v>15476</v>
      </c>
      <c r="H60" s="6">
        <f>+Engagement_Summary[[#This Row],[Total_Followers]]-E56</f>
        <v>115268</v>
      </c>
    </row>
    <row r="61" spans="1:8">
      <c r="A61" s="28">
        <v>45544</v>
      </c>
      <c r="B61" s="26" t="s">
        <v>10</v>
      </c>
      <c r="C61" s="5">
        <v>1409</v>
      </c>
      <c r="D61" s="5">
        <v>309</v>
      </c>
      <c r="E61" s="26">
        <v>64583</v>
      </c>
      <c r="F61" s="5">
        <v>8.99</v>
      </c>
      <c r="G61" s="26">
        <v>10217</v>
      </c>
      <c r="H61" s="6">
        <f>+Engagement_Summary[[#This Row],[Total_Followers]]-E57</f>
        <v>-306388</v>
      </c>
    </row>
    <row r="62" spans="1:8">
      <c r="A62" s="28">
        <v>45551</v>
      </c>
      <c r="B62" s="26" t="s">
        <v>7</v>
      </c>
      <c r="C62" s="5">
        <v>778</v>
      </c>
      <c r="D62" s="5">
        <v>401</v>
      </c>
      <c r="E62" s="26">
        <v>50793</v>
      </c>
      <c r="F62" s="5">
        <v>3.4</v>
      </c>
      <c r="G62" s="26">
        <v>21939</v>
      </c>
      <c r="H62" s="6">
        <f>+Engagement_Summary[[#This Row],[Total_Followers]]-E58</f>
        <v>-327261</v>
      </c>
    </row>
    <row r="63" spans="1:8">
      <c r="A63" s="28">
        <v>45551</v>
      </c>
      <c r="B63" s="26" t="s">
        <v>8</v>
      </c>
      <c r="C63" s="5">
        <v>443</v>
      </c>
      <c r="D63" s="5">
        <v>345</v>
      </c>
      <c r="E63" s="26">
        <v>474162</v>
      </c>
      <c r="F63" s="5">
        <v>9.1999999999999993</v>
      </c>
      <c r="G63" s="26">
        <v>47462</v>
      </c>
      <c r="H63" s="6">
        <f>+Engagement_Summary[[#This Row],[Total_Followers]]-E59</f>
        <v>166638</v>
      </c>
    </row>
    <row r="64" spans="1:8">
      <c r="A64" s="28">
        <v>45551</v>
      </c>
      <c r="B64" s="26" t="s">
        <v>9</v>
      </c>
      <c r="C64" s="5">
        <v>1472</v>
      </c>
      <c r="D64" s="5">
        <v>347</v>
      </c>
      <c r="E64" s="26">
        <v>392355</v>
      </c>
      <c r="F64" s="5">
        <v>8.59</v>
      </c>
      <c r="G64" s="26">
        <v>30270</v>
      </c>
      <c r="H64" s="6">
        <f>+Engagement_Summary[[#This Row],[Total_Followers]]-E60</f>
        <v>-41692</v>
      </c>
    </row>
    <row r="65" spans="1:8">
      <c r="A65" s="28">
        <v>45551</v>
      </c>
      <c r="B65" s="26" t="s">
        <v>10</v>
      </c>
      <c r="C65" s="5">
        <v>123</v>
      </c>
      <c r="D65" s="5">
        <v>155</v>
      </c>
      <c r="E65" s="26">
        <v>119934</v>
      </c>
      <c r="F65" s="5">
        <v>3.5</v>
      </c>
      <c r="G65" s="26">
        <v>5442</v>
      </c>
      <c r="H65" s="6">
        <f>+Engagement_Summary[[#This Row],[Total_Followers]]-E61</f>
        <v>55351</v>
      </c>
    </row>
    <row r="66" spans="1:8">
      <c r="A66" s="28">
        <v>45558</v>
      </c>
      <c r="B66" s="26" t="s">
        <v>7</v>
      </c>
      <c r="C66" s="5">
        <v>817</v>
      </c>
      <c r="D66" s="5">
        <v>151</v>
      </c>
      <c r="E66" s="26">
        <v>422625</v>
      </c>
      <c r="F66" s="5">
        <v>2.36</v>
      </c>
      <c r="G66" s="26">
        <v>1083</v>
      </c>
      <c r="H66" s="6">
        <f>+Engagement_Summary[[#This Row],[Total_Followers]]-E62</f>
        <v>371832</v>
      </c>
    </row>
    <row r="67" spans="1:8">
      <c r="A67" s="28">
        <v>45558</v>
      </c>
      <c r="B67" s="26" t="s">
        <v>8</v>
      </c>
      <c r="C67" s="5">
        <v>198</v>
      </c>
      <c r="D67" s="5">
        <v>217</v>
      </c>
      <c r="E67" s="26">
        <v>239753</v>
      </c>
      <c r="F67" s="5">
        <v>7.36</v>
      </c>
      <c r="G67" s="26">
        <v>11901</v>
      </c>
      <c r="H67" s="6">
        <f>+Engagement_Summary[[#This Row],[Total_Followers]]-E63</f>
        <v>-234409</v>
      </c>
    </row>
    <row r="68" spans="1:8">
      <c r="A68" s="28">
        <v>45558</v>
      </c>
      <c r="B68" s="26" t="s">
        <v>9</v>
      </c>
      <c r="C68" s="5">
        <v>1911</v>
      </c>
      <c r="D68" s="5">
        <v>231</v>
      </c>
      <c r="E68" s="26">
        <v>268516</v>
      </c>
      <c r="F68" s="5">
        <v>8.5500000000000007</v>
      </c>
      <c r="G68" s="26">
        <v>24018</v>
      </c>
      <c r="H68" s="6">
        <f>+Engagement_Summary[[#This Row],[Total_Followers]]-E64</f>
        <v>-123839</v>
      </c>
    </row>
    <row r="69" spans="1:8">
      <c r="A69" s="28">
        <v>45558</v>
      </c>
      <c r="B69" s="26" t="s">
        <v>10</v>
      </c>
      <c r="C69" s="5">
        <v>1218</v>
      </c>
      <c r="D69" s="5">
        <v>212</v>
      </c>
      <c r="E69" s="26">
        <v>63177</v>
      </c>
      <c r="F69" s="5">
        <v>8.1300000000000008</v>
      </c>
      <c r="G69" s="26">
        <v>38883</v>
      </c>
      <c r="H69" s="6">
        <f>+Engagement_Summary[[#This Row],[Total_Followers]]-E65</f>
        <v>-56757</v>
      </c>
    </row>
    <row r="70" spans="1:8">
      <c r="A70" s="28">
        <v>45565</v>
      </c>
      <c r="B70" s="26" t="s">
        <v>7</v>
      </c>
      <c r="C70" s="5">
        <v>1433</v>
      </c>
      <c r="D70" s="5">
        <v>408</v>
      </c>
      <c r="E70" s="26">
        <v>370269</v>
      </c>
      <c r="F70" s="5">
        <v>3.3</v>
      </c>
      <c r="G70" s="26">
        <v>30575</v>
      </c>
      <c r="H70" s="6">
        <f>+Engagement_Summary[[#This Row],[Total_Followers]]-E66</f>
        <v>-52356</v>
      </c>
    </row>
    <row r="71" spans="1:8" s="3" customFormat="1">
      <c r="A71" s="28">
        <v>45565</v>
      </c>
      <c r="B71" s="26" t="s">
        <v>8</v>
      </c>
      <c r="C71" s="5">
        <v>250</v>
      </c>
      <c r="D71" s="5">
        <v>429</v>
      </c>
      <c r="E71" s="26">
        <v>453423</v>
      </c>
      <c r="F71" s="5">
        <v>1.77</v>
      </c>
      <c r="G71" s="26">
        <v>2315</v>
      </c>
      <c r="H71" s="6">
        <f>+Engagement_Summary[[#This Row],[Total_Followers]]-E67</f>
        <v>213670</v>
      </c>
    </row>
    <row r="72" spans="1:8">
      <c r="A72" s="28">
        <v>45565</v>
      </c>
      <c r="B72" s="26" t="s">
        <v>9</v>
      </c>
      <c r="C72" s="5">
        <v>752</v>
      </c>
      <c r="D72" s="5">
        <v>153</v>
      </c>
      <c r="E72" s="26">
        <v>64906</v>
      </c>
      <c r="F72" s="5">
        <v>2.09</v>
      </c>
      <c r="G72" s="26">
        <v>12148</v>
      </c>
      <c r="H72" s="6">
        <f>+Engagement_Summary[[#This Row],[Total_Followers]]-E68</f>
        <v>-203610</v>
      </c>
    </row>
    <row r="73" spans="1:8">
      <c r="A73" s="28">
        <v>45565</v>
      </c>
      <c r="B73" s="26" t="s">
        <v>10</v>
      </c>
      <c r="C73" s="5">
        <v>1918</v>
      </c>
      <c r="D73" s="5">
        <v>212</v>
      </c>
      <c r="E73" s="26">
        <v>94360</v>
      </c>
      <c r="F73" s="5">
        <v>7.36</v>
      </c>
      <c r="G73" s="26">
        <v>36851</v>
      </c>
      <c r="H73" s="6">
        <f>+Engagement_Summary[[#This Row],[Total_Followers]]-E69</f>
        <v>31183</v>
      </c>
    </row>
    <row r="74" spans="1:8">
      <c r="A74" s="28">
        <v>45572</v>
      </c>
      <c r="B74" s="26" t="s">
        <v>7</v>
      </c>
      <c r="C74" s="5">
        <v>1939</v>
      </c>
      <c r="D74" s="5">
        <v>67</v>
      </c>
      <c r="E74" s="26">
        <v>187183</v>
      </c>
      <c r="F74" s="5">
        <v>6.25</v>
      </c>
      <c r="G74" s="26">
        <v>41215</v>
      </c>
      <c r="H74" s="6">
        <f>+Engagement_Summary[[#This Row],[Total_Followers]]-E70</f>
        <v>-183086</v>
      </c>
    </row>
    <row r="75" spans="1:8">
      <c r="A75" s="28">
        <v>45572</v>
      </c>
      <c r="B75" s="26" t="s">
        <v>8</v>
      </c>
      <c r="C75" s="5">
        <v>1929</v>
      </c>
      <c r="D75" s="5">
        <v>267</v>
      </c>
      <c r="E75" s="26">
        <v>379363</v>
      </c>
      <c r="F75" s="5">
        <v>1.75</v>
      </c>
      <c r="G75" s="26">
        <v>43836</v>
      </c>
      <c r="H75" s="6">
        <f>+Engagement_Summary[[#This Row],[Total_Followers]]-E71</f>
        <v>-74060</v>
      </c>
    </row>
    <row r="76" spans="1:8">
      <c r="A76" s="28">
        <v>45572</v>
      </c>
      <c r="B76" s="26" t="s">
        <v>9</v>
      </c>
      <c r="C76" s="5">
        <v>437</v>
      </c>
      <c r="D76" s="5">
        <v>330</v>
      </c>
      <c r="E76" s="26">
        <v>476486</v>
      </c>
      <c r="F76" s="5">
        <v>4.97</v>
      </c>
      <c r="G76" s="26">
        <v>4509</v>
      </c>
      <c r="H76" s="6">
        <f>+Engagement_Summary[[#This Row],[Total_Followers]]-E72</f>
        <v>411580</v>
      </c>
    </row>
    <row r="77" spans="1:8">
      <c r="A77" s="28">
        <v>45572</v>
      </c>
      <c r="B77" s="26" t="s">
        <v>10</v>
      </c>
      <c r="C77" s="5">
        <v>307</v>
      </c>
      <c r="D77" s="5">
        <v>189</v>
      </c>
      <c r="E77" s="26">
        <v>117767</v>
      </c>
      <c r="F77" s="5">
        <v>9.3000000000000007</v>
      </c>
      <c r="G77" s="26">
        <v>27822</v>
      </c>
      <c r="H77" s="6">
        <f>+Engagement_Summary[[#This Row],[Total_Followers]]-E73</f>
        <v>23407</v>
      </c>
    </row>
    <row r="78" spans="1:8">
      <c r="A78" s="28">
        <v>45579</v>
      </c>
      <c r="B78" s="26" t="s">
        <v>7</v>
      </c>
      <c r="C78" s="5">
        <v>1527</v>
      </c>
      <c r="D78" s="5">
        <v>303</v>
      </c>
      <c r="E78" s="26">
        <v>388555</v>
      </c>
      <c r="F78" s="5">
        <v>8.9</v>
      </c>
      <c r="G78" s="26">
        <v>36397</v>
      </c>
      <c r="H78" s="6">
        <f>+Engagement_Summary[[#This Row],[Total_Followers]]-E74</f>
        <v>201372</v>
      </c>
    </row>
    <row r="79" spans="1:8">
      <c r="A79" s="28">
        <v>45579</v>
      </c>
      <c r="B79" s="26" t="s">
        <v>8</v>
      </c>
      <c r="C79" s="5">
        <v>643</v>
      </c>
      <c r="D79" s="5">
        <v>358</v>
      </c>
      <c r="E79" s="26">
        <v>157599</v>
      </c>
      <c r="F79" s="5">
        <v>3.88</v>
      </c>
      <c r="G79" s="26">
        <v>7285</v>
      </c>
      <c r="H79" s="6">
        <f>+Engagement_Summary[[#This Row],[Total_Followers]]-E75</f>
        <v>-221764</v>
      </c>
    </row>
    <row r="80" spans="1:8">
      <c r="A80" s="28">
        <v>45579</v>
      </c>
      <c r="B80" s="26" t="s">
        <v>9</v>
      </c>
      <c r="C80" s="5">
        <v>201</v>
      </c>
      <c r="D80" s="5">
        <v>221</v>
      </c>
      <c r="E80" s="26">
        <v>309772</v>
      </c>
      <c r="F80" s="5">
        <v>5.9</v>
      </c>
      <c r="G80" s="26">
        <v>33174</v>
      </c>
      <c r="H80" s="6">
        <f>+Engagement_Summary[[#This Row],[Total_Followers]]-E76</f>
        <v>-166714</v>
      </c>
    </row>
    <row r="81" spans="1:8">
      <c r="A81" s="28">
        <v>45579</v>
      </c>
      <c r="B81" s="26" t="s">
        <v>10</v>
      </c>
      <c r="C81" s="5">
        <v>414</v>
      </c>
      <c r="D81" s="5">
        <v>47</v>
      </c>
      <c r="E81" s="26">
        <v>199178</v>
      </c>
      <c r="F81" s="5">
        <v>1.53</v>
      </c>
      <c r="G81" s="26">
        <v>6742</v>
      </c>
      <c r="H81" s="6">
        <f>+Engagement_Summary[[#This Row],[Total_Followers]]-E77</f>
        <v>81411</v>
      </c>
    </row>
    <row r="82" spans="1:8">
      <c r="A82" s="28">
        <v>45586</v>
      </c>
      <c r="B82" s="26" t="s">
        <v>7</v>
      </c>
      <c r="C82" s="5">
        <v>703</v>
      </c>
      <c r="D82" s="5">
        <v>441</v>
      </c>
      <c r="E82" s="26">
        <v>357089</v>
      </c>
      <c r="F82" s="5">
        <v>6.5</v>
      </c>
      <c r="G82" s="26">
        <v>32478</v>
      </c>
      <c r="H82" s="6">
        <f>+Engagement_Summary[[#This Row],[Total_Followers]]-E78</f>
        <v>-31466</v>
      </c>
    </row>
    <row r="83" spans="1:8">
      <c r="A83" s="28">
        <v>45586</v>
      </c>
      <c r="B83" s="26" t="s">
        <v>8</v>
      </c>
      <c r="C83" s="5">
        <v>508</v>
      </c>
      <c r="D83" s="5">
        <v>69</v>
      </c>
      <c r="E83" s="26">
        <v>23492</v>
      </c>
      <c r="F83" s="5">
        <v>3.16</v>
      </c>
      <c r="G83" s="26">
        <v>42824</v>
      </c>
      <c r="H83" s="6">
        <f>+Engagement_Summary[[#This Row],[Total_Followers]]-E79</f>
        <v>-134107</v>
      </c>
    </row>
    <row r="84" spans="1:8">
      <c r="A84" s="28">
        <v>45586</v>
      </c>
      <c r="B84" s="26" t="s">
        <v>9</v>
      </c>
      <c r="C84" s="5">
        <v>697</v>
      </c>
      <c r="D84" s="5">
        <v>61</v>
      </c>
      <c r="E84" s="26">
        <v>258287</v>
      </c>
      <c r="F84" s="5">
        <v>8.25</v>
      </c>
      <c r="G84" s="26">
        <v>21208</v>
      </c>
      <c r="H84" s="6">
        <f>+Engagement_Summary[[#This Row],[Total_Followers]]-E80</f>
        <v>-51485</v>
      </c>
    </row>
    <row r="85" spans="1:8">
      <c r="A85" s="28">
        <v>45586</v>
      </c>
      <c r="B85" s="26" t="s">
        <v>10</v>
      </c>
      <c r="C85" s="5">
        <v>1707</v>
      </c>
      <c r="D85" s="5">
        <v>223</v>
      </c>
      <c r="E85" s="26">
        <v>256910</v>
      </c>
      <c r="F85" s="5">
        <v>5.41</v>
      </c>
      <c r="G85" s="26">
        <v>44321</v>
      </c>
      <c r="H85" s="6">
        <f>+Engagement_Summary[[#This Row],[Total_Followers]]-E81</f>
        <v>57732</v>
      </c>
    </row>
    <row r="86" spans="1:8">
      <c r="A86" s="28">
        <v>45593</v>
      </c>
      <c r="B86" s="26" t="s">
        <v>7</v>
      </c>
      <c r="C86" s="5">
        <v>642</v>
      </c>
      <c r="D86" s="5">
        <v>66</v>
      </c>
      <c r="E86" s="26">
        <v>346522</v>
      </c>
      <c r="F86" s="5">
        <v>5.85</v>
      </c>
      <c r="G86" s="26">
        <v>13116</v>
      </c>
      <c r="H86" s="6">
        <f>+Engagement_Summary[[#This Row],[Total_Followers]]-E82</f>
        <v>-10567</v>
      </c>
    </row>
    <row r="87" spans="1:8">
      <c r="A87" s="28">
        <v>45593</v>
      </c>
      <c r="B87" s="26" t="s">
        <v>8</v>
      </c>
      <c r="C87" s="5">
        <v>859</v>
      </c>
      <c r="D87" s="5">
        <v>473</v>
      </c>
      <c r="E87" s="26">
        <v>209987</v>
      </c>
      <c r="F87" s="5">
        <v>4.46</v>
      </c>
      <c r="G87" s="26">
        <v>30214</v>
      </c>
      <c r="H87" s="6">
        <f>+Engagement_Summary[[#This Row],[Total_Followers]]-E83</f>
        <v>186495</v>
      </c>
    </row>
    <row r="88" spans="1:8">
      <c r="A88" s="28">
        <v>45593</v>
      </c>
      <c r="B88" s="26" t="s">
        <v>9</v>
      </c>
      <c r="C88" s="5">
        <v>191</v>
      </c>
      <c r="D88" s="5">
        <v>154</v>
      </c>
      <c r="E88" s="26">
        <v>240550</v>
      </c>
      <c r="F88" s="5">
        <v>5.22</v>
      </c>
      <c r="G88" s="26">
        <v>15827</v>
      </c>
      <c r="H88" s="6">
        <f>+Engagement_Summary[[#This Row],[Total_Followers]]-E84</f>
        <v>-17737</v>
      </c>
    </row>
    <row r="89" spans="1:8">
      <c r="A89" s="28">
        <v>45593</v>
      </c>
      <c r="B89" s="26" t="s">
        <v>10</v>
      </c>
      <c r="C89" s="5">
        <v>1814</v>
      </c>
      <c r="D89" s="5">
        <v>157</v>
      </c>
      <c r="E89" s="26">
        <v>305827</v>
      </c>
      <c r="F89" s="5">
        <v>1.99</v>
      </c>
      <c r="G89" s="26">
        <v>46643</v>
      </c>
      <c r="H89" s="6">
        <f>+Engagement_Summary[[#This Row],[Total_Followers]]-E85</f>
        <v>48917</v>
      </c>
    </row>
    <row r="90" spans="1:8">
      <c r="A90" s="28">
        <v>45600</v>
      </c>
      <c r="B90" s="26" t="s">
        <v>7</v>
      </c>
      <c r="C90" s="5">
        <v>1466</v>
      </c>
      <c r="D90" s="5">
        <v>69</v>
      </c>
      <c r="E90" s="26">
        <v>54935</v>
      </c>
      <c r="F90" s="5">
        <v>6.85</v>
      </c>
      <c r="G90" s="26">
        <v>36484</v>
      </c>
      <c r="H90" s="6">
        <f>+Engagement_Summary[[#This Row],[Total_Followers]]-E86</f>
        <v>-291587</v>
      </c>
    </row>
    <row r="91" spans="1:8" s="3" customFormat="1">
      <c r="A91" s="28">
        <v>45600</v>
      </c>
      <c r="B91" s="26" t="s">
        <v>8</v>
      </c>
      <c r="C91" s="5">
        <v>947</v>
      </c>
      <c r="D91" s="5">
        <v>407</v>
      </c>
      <c r="E91" s="26">
        <v>319186</v>
      </c>
      <c r="F91" s="5">
        <v>3.32</v>
      </c>
      <c r="G91" s="26">
        <v>4996</v>
      </c>
      <c r="H91" s="6">
        <f>+Engagement_Summary[[#This Row],[Total_Followers]]-E87</f>
        <v>109199</v>
      </c>
    </row>
    <row r="92" spans="1:8">
      <c r="A92" s="28">
        <v>45600</v>
      </c>
      <c r="B92" s="26" t="s">
        <v>9</v>
      </c>
      <c r="C92" s="5">
        <v>1821</v>
      </c>
      <c r="D92" s="5">
        <v>218</v>
      </c>
      <c r="E92" s="26">
        <v>439080</v>
      </c>
      <c r="F92" s="5">
        <v>5.68</v>
      </c>
      <c r="G92" s="26">
        <v>36095</v>
      </c>
      <c r="H92" s="6">
        <f>+Engagement_Summary[[#This Row],[Total_Followers]]-E88</f>
        <v>198530</v>
      </c>
    </row>
    <row r="93" spans="1:8">
      <c r="A93" s="28">
        <v>45600</v>
      </c>
      <c r="B93" s="26" t="s">
        <v>10</v>
      </c>
      <c r="C93" s="5">
        <v>1507</v>
      </c>
      <c r="D93" s="5">
        <v>463</v>
      </c>
      <c r="E93" s="26">
        <v>258944</v>
      </c>
      <c r="F93" s="5">
        <v>6.08</v>
      </c>
      <c r="G93" s="26">
        <v>16443</v>
      </c>
      <c r="H93" s="6">
        <f>+Engagement_Summary[[#This Row],[Total_Followers]]-E89</f>
        <v>-46883</v>
      </c>
    </row>
    <row r="94" spans="1:8">
      <c r="A94" s="28">
        <v>45607</v>
      </c>
      <c r="B94" s="26" t="s">
        <v>7</v>
      </c>
      <c r="C94" s="5">
        <v>1075</v>
      </c>
      <c r="D94" s="5">
        <v>173</v>
      </c>
      <c r="E94" s="26">
        <v>51395</v>
      </c>
      <c r="F94" s="5">
        <v>4.66</v>
      </c>
      <c r="G94" s="26">
        <v>47812</v>
      </c>
      <c r="H94" s="6">
        <f>+Engagement_Summary[[#This Row],[Total_Followers]]-E90</f>
        <v>-3540</v>
      </c>
    </row>
    <row r="95" spans="1:8">
      <c r="A95" s="28">
        <v>45607</v>
      </c>
      <c r="B95" s="26" t="s">
        <v>8</v>
      </c>
      <c r="C95" s="5">
        <v>171</v>
      </c>
      <c r="D95" s="5">
        <v>277</v>
      </c>
      <c r="E95" s="26">
        <v>309483</v>
      </c>
      <c r="F95" s="5">
        <v>8.6999999999999993</v>
      </c>
      <c r="G95" s="26">
        <v>38452</v>
      </c>
      <c r="H95" s="6">
        <f>+Engagement_Summary[[#This Row],[Total_Followers]]-E91</f>
        <v>-9703</v>
      </c>
    </row>
    <row r="96" spans="1:8">
      <c r="A96" s="28">
        <v>45607</v>
      </c>
      <c r="B96" s="26" t="s">
        <v>9</v>
      </c>
      <c r="C96" s="5">
        <v>1487</v>
      </c>
      <c r="D96" s="5">
        <v>337</v>
      </c>
      <c r="E96" s="26">
        <v>87305</v>
      </c>
      <c r="F96" s="5">
        <v>2.46</v>
      </c>
      <c r="G96" s="26">
        <v>30428</v>
      </c>
      <c r="H96" s="6">
        <f>+Engagement_Summary[[#This Row],[Total_Followers]]-E92</f>
        <v>-351775</v>
      </c>
    </row>
    <row r="97" spans="1:8">
      <c r="A97" s="28">
        <v>45607</v>
      </c>
      <c r="B97" s="26" t="s">
        <v>10</v>
      </c>
      <c r="C97" s="5">
        <v>454</v>
      </c>
      <c r="D97" s="5">
        <v>105</v>
      </c>
      <c r="E97" s="26">
        <v>121091</v>
      </c>
      <c r="F97" s="5">
        <v>7.97</v>
      </c>
      <c r="G97" s="26">
        <v>9269</v>
      </c>
      <c r="H97" s="6">
        <f>+Engagement_Summary[[#This Row],[Total_Followers]]-E93</f>
        <v>-137853</v>
      </c>
    </row>
    <row r="98" spans="1:8">
      <c r="A98" s="28">
        <v>45614</v>
      </c>
      <c r="B98" s="26" t="s">
        <v>7</v>
      </c>
      <c r="C98" s="5">
        <v>187</v>
      </c>
      <c r="D98" s="5">
        <v>236</v>
      </c>
      <c r="E98" s="26">
        <v>51087</v>
      </c>
      <c r="F98" s="5">
        <v>9.41</v>
      </c>
      <c r="G98" s="26">
        <v>29533</v>
      </c>
      <c r="H98" s="6">
        <f>+Engagement_Summary[[#This Row],[Total_Followers]]-E94</f>
        <v>-308</v>
      </c>
    </row>
    <row r="99" spans="1:8">
      <c r="A99" s="28">
        <v>45614</v>
      </c>
      <c r="B99" s="26" t="s">
        <v>8</v>
      </c>
      <c r="C99" s="5">
        <v>513</v>
      </c>
      <c r="D99" s="5">
        <v>441</v>
      </c>
      <c r="E99" s="26">
        <v>338847</v>
      </c>
      <c r="F99" s="5">
        <v>2.68</v>
      </c>
      <c r="G99" s="26">
        <v>39997</v>
      </c>
      <c r="H99" s="6">
        <f>+Engagement_Summary[[#This Row],[Total_Followers]]-E95</f>
        <v>29364</v>
      </c>
    </row>
    <row r="100" spans="1:8">
      <c r="A100" s="28">
        <v>45614</v>
      </c>
      <c r="B100" s="26" t="s">
        <v>9</v>
      </c>
      <c r="C100" s="5">
        <v>628</v>
      </c>
      <c r="D100" s="5">
        <v>183</v>
      </c>
      <c r="E100" s="26">
        <v>487523</v>
      </c>
      <c r="F100" s="5">
        <v>7.32</v>
      </c>
      <c r="G100" s="26">
        <v>5391</v>
      </c>
      <c r="H100" s="6">
        <f>+Engagement_Summary[[#This Row],[Total_Followers]]-E96</f>
        <v>400218</v>
      </c>
    </row>
    <row r="101" spans="1:8">
      <c r="A101" s="28">
        <v>45614</v>
      </c>
      <c r="B101" s="26" t="s">
        <v>10</v>
      </c>
      <c r="C101" s="5">
        <v>278</v>
      </c>
      <c r="D101" s="5">
        <v>218</v>
      </c>
      <c r="E101" s="26">
        <v>301695</v>
      </c>
      <c r="F101" s="5">
        <v>4.68</v>
      </c>
      <c r="G101" s="26">
        <v>22373</v>
      </c>
      <c r="H101" s="6">
        <f>+Engagement_Summary[[#This Row],[Total_Followers]]-E97</f>
        <v>180604</v>
      </c>
    </row>
    <row r="102" spans="1:8">
      <c r="A102" s="28">
        <v>45621</v>
      </c>
      <c r="B102" s="26" t="s">
        <v>7</v>
      </c>
      <c r="C102" s="5">
        <v>1854</v>
      </c>
      <c r="D102" s="5">
        <v>161</v>
      </c>
      <c r="E102" s="26">
        <v>282466</v>
      </c>
      <c r="F102" s="5">
        <v>5.17</v>
      </c>
      <c r="G102" s="26">
        <v>1810</v>
      </c>
      <c r="H102" s="6">
        <f>+Engagement_Summary[[#This Row],[Total_Followers]]-E98</f>
        <v>231379</v>
      </c>
    </row>
    <row r="103" spans="1:8">
      <c r="A103" s="28">
        <v>45621</v>
      </c>
      <c r="B103" s="26" t="s">
        <v>8</v>
      </c>
      <c r="C103" s="5">
        <v>1710</v>
      </c>
      <c r="D103" s="5">
        <v>378</v>
      </c>
      <c r="E103" s="26">
        <v>336661</v>
      </c>
      <c r="F103" s="5">
        <v>6.2</v>
      </c>
      <c r="G103" s="26">
        <v>28498</v>
      </c>
      <c r="H103" s="6">
        <f>+Engagement_Summary[[#This Row],[Total_Followers]]-E99</f>
        <v>-2186</v>
      </c>
    </row>
    <row r="104" spans="1:8">
      <c r="A104" s="28">
        <v>45621</v>
      </c>
      <c r="B104" s="26" t="s">
        <v>9</v>
      </c>
      <c r="C104" s="5">
        <v>330</v>
      </c>
      <c r="D104" s="5">
        <v>232</v>
      </c>
      <c r="E104" s="26">
        <v>88455</v>
      </c>
      <c r="F104" s="5">
        <v>2.69</v>
      </c>
      <c r="G104" s="26">
        <v>39530</v>
      </c>
      <c r="H104" s="6">
        <f>+Engagement_Summary[[#This Row],[Total_Followers]]-E100</f>
        <v>-399068</v>
      </c>
    </row>
    <row r="105" spans="1:8">
      <c r="A105" s="28">
        <v>45621</v>
      </c>
      <c r="B105" s="26" t="s">
        <v>10</v>
      </c>
      <c r="C105" s="5">
        <v>1293</v>
      </c>
      <c r="D105" s="5">
        <v>408</v>
      </c>
      <c r="E105" s="26">
        <v>62535</v>
      </c>
      <c r="F105" s="5">
        <v>8.9</v>
      </c>
      <c r="G105" s="26">
        <v>37876</v>
      </c>
      <c r="H105" s="6">
        <f>+Engagement_Summary[[#This Row],[Total_Followers]]-E101</f>
        <v>-239160</v>
      </c>
    </row>
    <row r="106" spans="1:8">
      <c r="A106" s="28">
        <v>45628</v>
      </c>
      <c r="B106" s="26" t="s">
        <v>7</v>
      </c>
      <c r="C106" s="5">
        <v>1696</v>
      </c>
      <c r="D106" s="5">
        <v>71</v>
      </c>
      <c r="E106" s="26">
        <v>421957</v>
      </c>
      <c r="F106" s="5">
        <v>3.79</v>
      </c>
      <c r="G106" s="26">
        <v>36103</v>
      </c>
      <c r="H106" s="6">
        <f>+Engagement_Summary[[#This Row],[Total_Followers]]-E102</f>
        <v>139491</v>
      </c>
    </row>
    <row r="107" spans="1:8">
      <c r="A107" s="28">
        <v>45628</v>
      </c>
      <c r="B107" s="26" t="s">
        <v>8</v>
      </c>
      <c r="C107" s="5">
        <v>1902</v>
      </c>
      <c r="D107" s="5">
        <v>196</v>
      </c>
      <c r="E107" s="26">
        <v>470269</v>
      </c>
      <c r="F107" s="5">
        <v>4.79</v>
      </c>
      <c r="G107" s="26">
        <v>26103</v>
      </c>
      <c r="H107" s="6">
        <f>+Engagement_Summary[[#This Row],[Total_Followers]]-E103</f>
        <v>133608</v>
      </c>
    </row>
    <row r="108" spans="1:8">
      <c r="A108" s="28">
        <v>45628</v>
      </c>
      <c r="B108" s="26" t="s">
        <v>9</v>
      </c>
      <c r="C108" s="5">
        <v>1441</v>
      </c>
      <c r="D108" s="5">
        <v>268</v>
      </c>
      <c r="E108" s="26">
        <v>309904</v>
      </c>
      <c r="F108" s="5">
        <v>6.37</v>
      </c>
      <c r="G108" s="26">
        <v>3455</v>
      </c>
      <c r="H108" s="6">
        <f>+Engagement_Summary[[#This Row],[Total_Followers]]-E104</f>
        <v>221449</v>
      </c>
    </row>
    <row r="109" spans="1:8">
      <c r="A109" s="28">
        <v>45628</v>
      </c>
      <c r="B109" s="26" t="s">
        <v>10</v>
      </c>
      <c r="C109" s="5">
        <v>452</v>
      </c>
      <c r="D109" s="5">
        <v>161</v>
      </c>
      <c r="E109" s="26">
        <v>221274</v>
      </c>
      <c r="F109" s="5">
        <v>2.65</v>
      </c>
      <c r="G109" s="26">
        <v>40888</v>
      </c>
      <c r="H109" s="6">
        <f>+Engagement_Summary[[#This Row],[Total_Followers]]-E105</f>
        <v>158739</v>
      </c>
    </row>
    <row r="110" spans="1:8">
      <c r="A110" s="28">
        <v>45635</v>
      </c>
      <c r="B110" s="26" t="s">
        <v>7</v>
      </c>
      <c r="C110" s="5">
        <v>1494</v>
      </c>
      <c r="D110" s="5">
        <v>375</v>
      </c>
      <c r="E110" s="26">
        <v>220616</v>
      </c>
      <c r="F110" s="5">
        <v>1.81</v>
      </c>
      <c r="G110" s="26">
        <v>22724</v>
      </c>
      <c r="H110" s="6">
        <f>+Engagement_Summary[[#This Row],[Total_Followers]]-E106</f>
        <v>-201341</v>
      </c>
    </row>
    <row r="111" spans="1:8">
      <c r="A111" s="28">
        <v>45635</v>
      </c>
      <c r="B111" s="26" t="s">
        <v>8</v>
      </c>
      <c r="C111" s="5">
        <v>1514</v>
      </c>
      <c r="D111" s="5">
        <v>141</v>
      </c>
      <c r="E111" s="26">
        <v>35842</v>
      </c>
      <c r="F111" s="5">
        <v>7.47</v>
      </c>
      <c r="G111" s="26">
        <v>18601</v>
      </c>
      <c r="H111" s="6">
        <f>+Engagement_Summary[[#This Row],[Total_Followers]]-E107</f>
        <v>-434427</v>
      </c>
    </row>
    <row r="112" spans="1:8">
      <c r="A112" s="28">
        <v>45635</v>
      </c>
      <c r="B112" s="26" t="s">
        <v>9</v>
      </c>
      <c r="C112" s="5">
        <v>1937</v>
      </c>
      <c r="D112" s="5">
        <v>210</v>
      </c>
      <c r="E112" s="26">
        <v>20607</v>
      </c>
      <c r="F112" s="5">
        <v>4.2</v>
      </c>
      <c r="G112" s="26">
        <v>20861</v>
      </c>
      <c r="H112" s="6">
        <f>+Engagement_Summary[[#This Row],[Total_Followers]]-E108</f>
        <v>-289297</v>
      </c>
    </row>
    <row r="113" spans="1:8">
      <c r="A113" s="28">
        <v>45635</v>
      </c>
      <c r="B113" s="26" t="s">
        <v>10</v>
      </c>
      <c r="C113" s="5">
        <v>736</v>
      </c>
      <c r="D113" s="5">
        <v>163</v>
      </c>
      <c r="E113" s="26">
        <v>451894</v>
      </c>
      <c r="F113" s="5">
        <v>5.43</v>
      </c>
      <c r="G113" s="26">
        <v>46625</v>
      </c>
      <c r="H113" s="6">
        <f>+Engagement_Summary[[#This Row],[Total_Followers]]-E109</f>
        <v>230620</v>
      </c>
    </row>
    <row r="114" spans="1:8">
      <c r="A114" s="28">
        <v>45642</v>
      </c>
      <c r="B114" s="26" t="s">
        <v>7</v>
      </c>
      <c r="C114" s="5">
        <v>1502</v>
      </c>
      <c r="D114" s="5">
        <v>70</v>
      </c>
      <c r="E114" s="26">
        <v>465553</v>
      </c>
      <c r="F114" s="5">
        <v>3.32</v>
      </c>
      <c r="G114" s="26">
        <v>20692</v>
      </c>
      <c r="H114" s="6">
        <f>+Engagement_Summary[[#This Row],[Total_Followers]]-E110</f>
        <v>244937</v>
      </c>
    </row>
    <row r="115" spans="1:8">
      <c r="A115" s="28">
        <v>45642</v>
      </c>
      <c r="B115" s="26" t="s">
        <v>8</v>
      </c>
      <c r="C115" s="5">
        <v>1623</v>
      </c>
      <c r="D115" s="5">
        <v>246</v>
      </c>
      <c r="E115" s="26">
        <v>415815</v>
      </c>
      <c r="F115" s="5">
        <v>8.11</v>
      </c>
      <c r="G115" s="26">
        <v>18656</v>
      </c>
      <c r="H115" s="6">
        <f>+Engagement_Summary[[#This Row],[Total_Followers]]-E111</f>
        <v>379973</v>
      </c>
    </row>
    <row r="116" spans="1:8">
      <c r="A116" s="28">
        <v>45642</v>
      </c>
      <c r="B116" s="26" t="s">
        <v>9</v>
      </c>
      <c r="C116" s="5">
        <v>1592</v>
      </c>
      <c r="D116" s="5">
        <v>233</v>
      </c>
      <c r="E116" s="26">
        <v>327183</v>
      </c>
      <c r="F116" s="5">
        <v>6.66</v>
      </c>
      <c r="G116" s="26">
        <v>13316</v>
      </c>
      <c r="H116" s="6">
        <f>+Engagement_Summary[[#This Row],[Total_Followers]]-E112</f>
        <v>306576</v>
      </c>
    </row>
    <row r="117" spans="1:8">
      <c r="A117" s="28">
        <v>45642</v>
      </c>
      <c r="B117" s="26" t="s">
        <v>10</v>
      </c>
      <c r="C117" s="5">
        <v>1004</v>
      </c>
      <c r="D117" s="5">
        <v>128</v>
      </c>
      <c r="E117" s="26">
        <v>488901</v>
      </c>
      <c r="F117" s="5">
        <v>8.09</v>
      </c>
      <c r="G117" s="26">
        <v>49558</v>
      </c>
      <c r="H117" s="6">
        <f>+Engagement_Summary[[#This Row],[Total_Followers]]-E113</f>
        <v>37007</v>
      </c>
    </row>
    <row r="118" spans="1:8">
      <c r="A118" s="28">
        <v>45649</v>
      </c>
      <c r="B118" s="26" t="s">
        <v>7</v>
      </c>
      <c r="C118" s="5">
        <v>1092</v>
      </c>
      <c r="D118" s="5">
        <v>408</v>
      </c>
      <c r="E118" s="26">
        <v>280795</v>
      </c>
      <c r="F118" s="5">
        <v>8.44</v>
      </c>
      <c r="G118" s="26">
        <v>4683</v>
      </c>
      <c r="H118" s="6">
        <f>+Engagement_Summary[[#This Row],[Total_Followers]]-E114</f>
        <v>-184758</v>
      </c>
    </row>
    <row r="119" spans="1:8">
      <c r="A119" s="28">
        <v>45649</v>
      </c>
      <c r="B119" s="26" t="s">
        <v>8</v>
      </c>
      <c r="C119" s="5">
        <v>1155</v>
      </c>
      <c r="D119" s="5">
        <v>425</v>
      </c>
      <c r="E119" s="26">
        <v>93347</v>
      </c>
      <c r="F119" s="5">
        <v>2.02</v>
      </c>
      <c r="G119" s="26">
        <v>47502</v>
      </c>
      <c r="H119" s="6">
        <f>+Engagement_Summary[[#This Row],[Total_Followers]]-E115</f>
        <v>-322468</v>
      </c>
    </row>
    <row r="120" spans="1:8">
      <c r="A120" s="28">
        <v>45649</v>
      </c>
      <c r="B120" s="26" t="s">
        <v>9</v>
      </c>
      <c r="C120" s="5">
        <v>1137</v>
      </c>
      <c r="D120" s="5">
        <v>226</v>
      </c>
      <c r="E120" s="26">
        <v>81119</v>
      </c>
      <c r="F120" s="5">
        <v>7.74</v>
      </c>
      <c r="G120" s="26">
        <v>35359</v>
      </c>
      <c r="H120" s="6">
        <f>+Engagement_Summary[[#This Row],[Total_Followers]]-E116</f>
        <v>-246064</v>
      </c>
    </row>
    <row r="121" spans="1:8">
      <c r="A121" s="28">
        <v>45649</v>
      </c>
      <c r="B121" s="26" t="s">
        <v>10</v>
      </c>
      <c r="C121" s="5">
        <v>1900</v>
      </c>
      <c r="D121" s="5">
        <v>311</v>
      </c>
      <c r="E121" s="26">
        <v>25177</v>
      </c>
      <c r="F121" s="5">
        <v>2.89</v>
      </c>
      <c r="G121" s="26">
        <v>14154</v>
      </c>
      <c r="H121" s="6">
        <f>+Engagement_Summary[[#This Row],[Total_Followers]]-E117</f>
        <v>-463724</v>
      </c>
    </row>
    <row r="122" spans="1:8">
      <c r="A122" s="28">
        <v>45656</v>
      </c>
      <c r="B122" s="26" t="s">
        <v>7</v>
      </c>
      <c r="C122" s="5">
        <v>1814</v>
      </c>
      <c r="D122" s="5">
        <v>49</v>
      </c>
      <c r="E122" s="26">
        <v>140804</v>
      </c>
      <c r="F122" s="5">
        <v>1.76</v>
      </c>
      <c r="G122" s="26">
        <v>4313</v>
      </c>
      <c r="H122" s="6">
        <f>+Engagement_Summary[[#This Row],[Total_Followers]]-E118</f>
        <v>-139991</v>
      </c>
    </row>
    <row r="123" spans="1:8">
      <c r="A123" s="28">
        <v>45656</v>
      </c>
      <c r="B123" s="26" t="s">
        <v>8</v>
      </c>
      <c r="C123" s="5">
        <v>1980</v>
      </c>
      <c r="D123" s="5">
        <v>204</v>
      </c>
      <c r="E123" s="26">
        <v>379431</v>
      </c>
      <c r="F123" s="5">
        <v>3.09</v>
      </c>
      <c r="G123" s="26">
        <v>25140</v>
      </c>
      <c r="H123" s="6">
        <f>+Engagement_Summary[[#This Row],[Total_Followers]]-E119</f>
        <v>286084</v>
      </c>
    </row>
    <row r="124" spans="1:8">
      <c r="A124" s="28">
        <v>45656</v>
      </c>
      <c r="B124" s="26" t="s">
        <v>9</v>
      </c>
      <c r="C124" s="5">
        <v>1786</v>
      </c>
      <c r="D124" s="5">
        <v>257</v>
      </c>
      <c r="E124" s="26">
        <v>274831</v>
      </c>
      <c r="F124" s="5">
        <v>4.68</v>
      </c>
      <c r="G124" s="26">
        <v>9118</v>
      </c>
      <c r="H124" s="6">
        <f>+Engagement_Summary[[#This Row],[Total_Followers]]-E120</f>
        <v>193712</v>
      </c>
    </row>
    <row r="125" spans="1:8">
      <c r="A125" s="28">
        <v>45656</v>
      </c>
      <c r="B125" s="26" t="s">
        <v>10</v>
      </c>
      <c r="C125" s="5">
        <v>1495</v>
      </c>
      <c r="D125" s="5">
        <v>35</v>
      </c>
      <c r="E125" s="26">
        <v>136845</v>
      </c>
      <c r="F125" s="5">
        <v>4.4800000000000004</v>
      </c>
      <c r="G125" s="26">
        <v>39931</v>
      </c>
      <c r="H125" s="6">
        <f>+Engagement_Summary[[#This Row],[Total_Followers]]-E121</f>
        <v>111668</v>
      </c>
    </row>
    <row r="126" spans="1:8">
      <c r="A126" s="28">
        <v>45663</v>
      </c>
      <c r="B126" s="26" t="s">
        <v>7</v>
      </c>
      <c r="C126" s="5">
        <v>1013</v>
      </c>
      <c r="D126" s="5">
        <v>110</v>
      </c>
      <c r="E126" s="26">
        <v>466382</v>
      </c>
      <c r="F126" s="5">
        <v>5.3</v>
      </c>
      <c r="G126" s="26">
        <v>37132</v>
      </c>
      <c r="H126" s="6">
        <f>+Engagement_Summary[[#This Row],[Total_Followers]]-E122</f>
        <v>325578</v>
      </c>
    </row>
    <row r="127" spans="1:8">
      <c r="A127" s="28">
        <v>45663</v>
      </c>
      <c r="B127" s="26" t="s">
        <v>8</v>
      </c>
      <c r="C127" s="5">
        <v>816</v>
      </c>
      <c r="D127" s="5">
        <v>196</v>
      </c>
      <c r="E127" s="26">
        <v>95728</v>
      </c>
      <c r="F127" s="5">
        <v>8.1999999999999993</v>
      </c>
      <c r="G127" s="26">
        <v>17951</v>
      </c>
      <c r="H127" s="6">
        <f>+Engagement_Summary[[#This Row],[Total_Followers]]-E123</f>
        <v>-283703</v>
      </c>
    </row>
    <row r="128" spans="1:8">
      <c r="A128" s="28">
        <v>45663</v>
      </c>
      <c r="B128" s="26" t="s">
        <v>9</v>
      </c>
      <c r="C128" s="5">
        <v>1633</v>
      </c>
      <c r="D128" s="5">
        <v>445</v>
      </c>
      <c r="E128" s="26">
        <v>371156</v>
      </c>
      <c r="F128" s="5">
        <v>2.2200000000000002</v>
      </c>
      <c r="G128" s="26">
        <v>2798</v>
      </c>
      <c r="H128" s="6">
        <f>+Engagement_Summary[[#This Row],[Total_Followers]]-E124</f>
        <v>96325</v>
      </c>
    </row>
    <row r="129" spans="1:8">
      <c r="A129" s="28">
        <v>45663</v>
      </c>
      <c r="B129" s="26" t="s">
        <v>10</v>
      </c>
      <c r="C129" s="5">
        <v>891</v>
      </c>
      <c r="D129" s="5">
        <v>45</v>
      </c>
      <c r="E129" s="26">
        <v>95410</v>
      </c>
      <c r="F129" s="5">
        <v>8.33</v>
      </c>
      <c r="G129" s="26">
        <v>15045</v>
      </c>
      <c r="H129" s="6">
        <f>+Engagement_Summary[[#This Row],[Total_Followers]]-E125</f>
        <v>-41435</v>
      </c>
    </row>
    <row r="130" spans="1:8">
      <c r="A130" s="28">
        <v>45670</v>
      </c>
      <c r="B130" s="26" t="s">
        <v>7</v>
      </c>
      <c r="C130" s="5">
        <v>1855</v>
      </c>
      <c r="D130" s="5">
        <v>133</v>
      </c>
      <c r="E130" s="26">
        <v>349413</v>
      </c>
      <c r="F130" s="5">
        <v>3.3</v>
      </c>
      <c r="G130" s="26">
        <v>14548</v>
      </c>
      <c r="H130" s="6">
        <f>+Engagement_Summary[[#This Row],[Total_Followers]]-E126</f>
        <v>-116969</v>
      </c>
    </row>
    <row r="131" spans="1:8">
      <c r="A131" s="28">
        <v>45670</v>
      </c>
      <c r="B131" s="26" t="s">
        <v>8</v>
      </c>
      <c r="C131" s="5">
        <v>651</v>
      </c>
      <c r="D131" s="5">
        <v>353</v>
      </c>
      <c r="E131" s="26">
        <v>224699</v>
      </c>
      <c r="F131" s="5">
        <v>5.61</v>
      </c>
      <c r="G131" s="26">
        <v>45708</v>
      </c>
      <c r="H131" s="6">
        <f>+Engagement_Summary[[#This Row],[Total_Followers]]-E127</f>
        <v>128971</v>
      </c>
    </row>
    <row r="132" spans="1:8">
      <c r="A132" s="28">
        <v>45670</v>
      </c>
      <c r="B132" s="26" t="s">
        <v>9</v>
      </c>
      <c r="C132" s="5">
        <v>118</v>
      </c>
      <c r="D132" s="5">
        <v>262</v>
      </c>
      <c r="E132" s="26">
        <v>487896</v>
      </c>
      <c r="F132" s="5">
        <v>2.56</v>
      </c>
      <c r="G132" s="26">
        <v>12350</v>
      </c>
      <c r="H132" s="6">
        <f>+Engagement_Summary[[#This Row],[Total_Followers]]-E128</f>
        <v>116740</v>
      </c>
    </row>
    <row r="133" spans="1:8">
      <c r="A133" s="28">
        <v>45670</v>
      </c>
      <c r="B133" s="26" t="s">
        <v>10</v>
      </c>
      <c r="C133" s="5">
        <v>1331</v>
      </c>
      <c r="D133" s="5">
        <v>430</v>
      </c>
      <c r="E133" s="26">
        <v>14437</v>
      </c>
      <c r="F133" s="5">
        <v>3.29</v>
      </c>
      <c r="G133" s="26">
        <v>40868</v>
      </c>
      <c r="H133" s="6">
        <f>+Engagement_Summary[[#This Row],[Total_Followers]]-E129</f>
        <v>-80973</v>
      </c>
    </row>
    <row r="134" spans="1:8">
      <c r="A134" s="28">
        <v>45677</v>
      </c>
      <c r="B134" s="26" t="s">
        <v>7</v>
      </c>
      <c r="C134" s="5">
        <v>1748</v>
      </c>
      <c r="D134" s="5">
        <v>176</v>
      </c>
      <c r="E134" s="26">
        <v>383681</v>
      </c>
      <c r="F134" s="5">
        <v>9.24</v>
      </c>
      <c r="G134" s="26">
        <v>43122</v>
      </c>
      <c r="H134" s="6">
        <f>+Engagement_Summary[[#This Row],[Total_Followers]]-E130</f>
        <v>34268</v>
      </c>
    </row>
    <row r="135" spans="1:8">
      <c r="A135" s="28">
        <v>45677</v>
      </c>
      <c r="B135" s="26" t="s">
        <v>8</v>
      </c>
      <c r="C135" s="5">
        <v>663</v>
      </c>
      <c r="D135" s="5">
        <v>236</v>
      </c>
      <c r="E135" s="26">
        <v>479490</v>
      </c>
      <c r="F135" s="5">
        <v>4.51</v>
      </c>
      <c r="G135" s="26">
        <v>23853</v>
      </c>
      <c r="H135" s="6">
        <f>+Engagement_Summary[[#This Row],[Total_Followers]]-E131</f>
        <v>254791</v>
      </c>
    </row>
    <row r="136" spans="1:8">
      <c r="A136" s="28">
        <v>45677</v>
      </c>
      <c r="B136" s="26" t="s">
        <v>9</v>
      </c>
      <c r="C136" s="5">
        <v>1040</v>
      </c>
      <c r="D136" s="5">
        <v>149</v>
      </c>
      <c r="E136" s="26">
        <v>124404</v>
      </c>
      <c r="F136" s="5">
        <v>5.23</v>
      </c>
      <c r="G136" s="26">
        <v>45380</v>
      </c>
      <c r="H136" s="6">
        <f>+Engagement_Summary[[#This Row],[Total_Followers]]-E132</f>
        <v>-363492</v>
      </c>
    </row>
    <row r="137" spans="1:8">
      <c r="A137" s="28">
        <v>45677</v>
      </c>
      <c r="B137" s="26" t="s">
        <v>10</v>
      </c>
      <c r="C137" s="5">
        <v>1166</v>
      </c>
      <c r="D137" s="5">
        <v>442</v>
      </c>
      <c r="E137" s="26">
        <v>336949</v>
      </c>
      <c r="F137" s="5">
        <v>4.68</v>
      </c>
      <c r="G137" s="26">
        <v>7705</v>
      </c>
      <c r="H137" s="6">
        <f>+Engagement_Summary[[#This Row],[Total_Followers]]-E133</f>
        <v>322512</v>
      </c>
    </row>
    <row r="138" spans="1:8">
      <c r="A138" s="28">
        <v>45684</v>
      </c>
      <c r="B138" s="26" t="s">
        <v>7</v>
      </c>
      <c r="C138" s="5">
        <v>115</v>
      </c>
      <c r="D138" s="5">
        <v>281</v>
      </c>
      <c r="E138" s="26">
        <v>357265</v>
      </c>
      <c r="F138" s="5">
        <v>9.23</v>
      </c>
      <c r="G138" s="26">
        <v>25525</v>
      </c>
      <c r="H138" s="6">
        <f>+Engagement_Summary[[#This Row],[Total_Followers]]-E134</f>
        <v>-26416</v>
      </c>
    </row>
    <row r="139" spans="1:8">
      <c r="A139" s="28">
        <v>45684</v>
      </c>
      <c r="B139" s="26" t="s">
        <v>8</v>
      </c>
      <c r="C139" s="5">
        <v>1249</v>
      </c>
      <c r="D139" s="5">
        <v>351</v>
      </c>
      <c r="E139" s="26">
        <v>321307</v>
      </c>
      <c r="F139" s="5">
        <v>6.37</v>
      </c>
      <c r="G139" s="26">
        <v>20560</v>
      </c>
      <c r="H139" s="6">
        <f>+Engagement_Summary[[#This Row],[Total_Followers]]-E135</f>
        <v>-158183</v>
      </c>
    </row>
    <row r="140" spans="1:8">
      <c r="A140" s="28">
        <v>45684</v>
      </c>
      <c r="B140" s="26" t="s">
        <v>9</v>
      </c>
      <c r="C140" s="5">
        <v>1501</v>
      </c>
      <c r="D140" s="5">
        <v>75</v>
      </c>
      <c r="E140" s="26">
        <v>262569</v>
      </c>
      <c r="F140" s="5">
        <v>2.0099999999999998</v>
      </c>
      <c r="G140" s="26">
        <v>19119</v>
      </c>
      <c r="H140" s="6">
        <f>+Engagement_Summary[[#This Row],[Total_Followers]]-E136</f>
        <v>138165</v>
      </c>
    </row>
    <row r="141" spans="1:8">
      <c r="A141" s="28">
        <v>45684</v>
      </c>
      <c r="B141" s="26" t="s">
        <v>10</v>
      </c>
      <c r="C141" s="5">
        <v>1411</v>
      </c>
      <c r="D141" s="5">
        <v>186</v>
      </c>
      <c r="E141" s="26">
        <v>461669</v>
      </c>
      <c r="F141" s="5">
        <v>3.72</v>
      </c>
      <c r="G141" s="26">
        <v>43999</v>
      </c>
      <c r="H141" s="6">
        <f>+Engagement_Summary[[#This Row],[Total_Followers]]-E137</f>
        <v>124720</v>
      </c>
    </row>
    <row r="142" spans="1:8">
      <c r="A142" s="28">
        <v>45691</v>
      </c>
      <c r="B142" s="26" t="s">
        <v>7</v>
      </c>
      <c r="C142" s="5">
        <v>1556</v>
      </c>
      <c r="D142" s="5">
        <v>476</v>
      </c>
      <c r="E142" s="26">
        <v>351556</v>
      </c>
      <c r="F142" s="5">
        <v>3.89</v>
      </c>
      <c r="G142" s="26">
        <v>10825</v>
      </c>
      <c r="H142" s="6">
        <f>+Engagement_Summary[[#This Row],[Total_Followers]]-E138</f>
        <v>-5709</v>
      </c>
    </row>
    <row r="143" spans="1:8">
      <c r="A143" s="28">
        <v>45691</v>
      </c>
      <c r="B143" s="26" t="s">
        <v>8</v>
      </c>
      <c r="C143" s="5">
        <v>1159</v>
      </c>
      <c r="D143" s="5">
        <v>411</v>
      </c>
      <c r="E143" s="26">
        <v>135987</v>
      </c>
      <c r="F143" s="5">
        <v>8.6999999999999993</v>
      </c>
      <c r="G143" s="26">
        <v>40323</v>
      </c>
      <c r="H143" s="6">
        <f>+Engagement_Summary[[#This Row],[Total_Followers]]-E139</f>
        <v>-185320</v>
      </c>
    </row>
    <row r="144" spans="1:8">
      <c r="A144" s="28">
        <v>45691</v>
      </c>
      <c r="B144" s="26" t="s">
        <v>9</v>
      </c>
      <c r="C144" s="5">
        <v>927</v>
      </c>
      <c r="D144" s="5">
        <v>358</v>
      </c>
      <c r="E144" s="26">
        <v>177554</v>
      </c>
      <c r="F144" s="5">
        <v>6.95</v>
      </c>
      <c r="G144" s="26">
        <v>48270</v>
      </c>
      <c r="H144" s="6">
        <f>+Engagement_Summary[[#This Row],[Total_Followers]]-E140</f>
        <v>-85015</v>
      </c>
    </row>
    <row r="145" spans="1:8">
      <c r="A145" s="28">
        <v>45691</v>
      </c>
      <c r="B145" s="26" t="s">
        <v>10</v>
      </c>
      <c r="C145" s="5">
        <v>152</v>
      </c>
      <c r="D145" s="5">
        <v>355</v>
      </c>
      <c r="E145" s="26">
        <v>270766</v>
      </c>
      <c r="F145" s="5">
        <v>9.48</v>
      </c>
      <c r="G145" s="26">
        <v>18001</v>
      </c>
      <c r="H145" s="6">
        <f>+Engagement_Summary[[#This Row],[Total_Followers]]-E141</f>
        <v>-190903</v>
      </c>
    </row>
    <row r="146" spans="1:8">
      <c r="A146" s="28">
        <v>45698</v>
      </c>
      <c r="B146" s="26" t="s">
        <v>7</v>
      </c>
      <c r="C146" s="5">
        <v>1957</v>
      </c>
      <c r="D146" s="5">
        <v>234</v>
      </c>
      <c r="E146" s="26">
        <v>222126</v>
      </c>
      <c r="F146" s="5">
        <v>4.6100000000000003</v>
      </c>
      <c r="G146" s="26">
        <v>3314</v>
      </c>
      <c r="H146" s="6">
        <f>+Engagement_Summary[[#This Row],[Total_Followers]]-E142</f>
        <v>-129430</v>
      </c>
    </row>
    <row r="147" spans="1:8">
      <c r="A147" s="28">
        <v>45698</v>
      </c>
      <c r="B147" s="26" t="s">
        <v>8</v>
      </c>
      <c r="C147" s="5">
        <v>1294</v>
      </c>
      <c r="D147" s="5">
        <v>382</v>
      </c>
      <c r="E147" s="26">
        <v>309914</v>
      </c>
      <c r="F147" s="5">
        <v>8.0299999999999994</v>
      </c>
      <c r="G147" s="26">
        <v>23489</v>
      </c>
      <c r="H147" s="6">
        <f>+Engagement_Summary[[#This Row],[Total_Followers]]-E143</f>
        <v>173927</v>
      </c>
    </row>
    <row r="148" spans="1:8">
      <c r="A148" s="28">
        <v>45698</v>
      </c>
      <c r="B148" s="26" t="s">
        <v>9</v>
      </c>
      <c r="C148" s="5">
        <v>1587</v>
      </c>
      <c r="D148" s="5">
        <v>385</v>
      </c>
      <c r="E148" s="26">
        <v>126582</v>
      </c>
      <c r="F148" s="5">
        <v>6.99</v>
      </c>
      <c r="G148" s="26">
        <v>42832</v>
      </c>
      <c r="H148" s="6">
        <f>+Engagement_Summary[[#This Row],[Total_Followers]]-E144</f>
        <v>-50972</v>
      </c>
    </row>
    <row r="149" spans="1:8">
      <c r="A149" s="28">
        <v>45698</v>
      </c>
      <c r="B149" s="26" t="s">
        <v>10</v>
      </c>
      <c r="C149" s="5">
        <v>1707</v>
      </c>
      <c r="D149" s="5">
        <v>263</v>
      </c>
      <c r="E149" s="26">
        <v>485280</v>
      </c>
      <c r="F149" s="5">
        <v>9.0299999999999994</v>
      </c>
      <c r="G149" s="26">
        <v>24494</v>
      </c>
      <c r="H149" s="6">
        <f>+Engagement_Summary[[#This Row],[Total_Followers]]-E145</f>
        <v>214514</v>
      </c>
    </row>
    <row r="150" spans="1:8">
      <c r="A150" s="28">
        <v>45705</v>
      </c>
      <c r="B150" s="26" t="s">
        <v>7</v>
      </c>
      <c r="C150" s="5">
        <v>1138</v>
      </c>
      <c r="D150" s="5">
        <v>173</v>
      </c>
      <c r="E150" s="26">
        <v>453243</v>
      </c>
      <c r="F150" s="5">
        <v>2.86</v>
      </c>
      <c r="G150" s="26">
        <v>44097</v>
      </c>
      <c r="H150" s="6">
        <f>+Engagement_Summary[[#This Row],[Total_Followers]]-E146</f>
        <v>231117</v>
      </c>
    </row>
    <row r="151" spans="1:8">
      <c r="A151" s="28">
        <v>45705</v>
      </c>
      <c r="B151" s="26" t="s">
        <v>8</v>
      </c>
      <c r="C151" s="5">
        <v>1895</v>
      </c>
      <c r="D151" s="5">
        <v>305</v>
      </c>
      <c r="E151" s="26">
        <v>104967</v>
      </c>
      <c r="F151" s="5">
        <v>3.85</v>
      </c>
      <c r="G151" s="26">
        <v>31853</v>
      </c>
      <c r="H151" s="6">
        <f>+Engagement_Summary[[#This Row],[Total_Followers]]-E147</f>
        <v>-204947</v>
      </c>
    </row>
    <row r="152" spans="1:8">
      <c r="A152" s="28">
        <v>45705</v>
      </c>
      <c r="B152" s="26" t="s">
        <v>9</v>
      </c>
      <c r="C152" s="5">
        <v>362</v>
      </c>
      <c r="D152" s="5">
        <v>399</v>
      </c>
      <c r="E152" s="26">
        <v>145608</v>
      </c>
      <c r="F152" s="5">
        <v>7.3</v>
      </c>
      <c r="G152" s="26">
        <v>37636</v>
      </c>
      <c r="H152" s="6">
        <f>+Engagement_Summary[[#This Row],[Total_Followers]]-E148</f>
        <v>19026</v>
      </c>
    </row>
    <row r="153" spans="1:8">
      <c r="A153" s="28">
        <v>45705</v>
      </c>
      <c r="B153" s="26" t="s">
        <v>10</v>
      </c>
      <c r="C153" s="5">
        <v>1662</v>
      </c>
      <c r="D153" s="5">
        <v>487</v>
      </c>
      <c r="E153" s="26">
        <v>105980</v>
      </c>
      <c r="F153" s="5">
        <v>9.08</v>
      </c>
      <c r="G153" s="26">
        <v>22996</v>
      </c>
      <c r="H153" s="6">
        <f>+Engagement_Summary[[#This Row],[Total_Followers]]-E149</f>
        <v>-379300</v>
      </c>
    </row>
    <row r="154" spans="1:8">
      <c r="A154" s="28">
        <v>45712</v>
      </c>
      <c r="B154" s="26" t="s">
        <v>7</v>
      </c>
      <c r="C154" s="5">
        <v>1440</v>
      </c>
      <c r="D154" s="5">
        <v>65</v>
      </c>
      <c r="E154" s="26">
        <v>126524</v>
      </c>
      <c r="F154" s="5">
        <v>4.34</v>
      </c>
      <c r="G154" s="26">
        <v>49772</v>
      </c>
      <c r="H154" s="6">
        <f>+Engagement_Summary[[#This Row],[Total_Followers]]-E150</f>
        <v>-326719</v>
      </c>
    </row>
    <row r="155" spans="1:8">
      <c r="A155" s="28">
        <v>45712</v>
      </c>
      <c r="B155" s="26" t="s">
        <v>8</v>
      </c>
      <c r="C155" s="5">
        <v>1884</v>
      </c>
      <c r="D155" s="5">
        <v>177</v>
      </c>
      <c r="E155" s="26">
        <v>230448</v>
      </c>
      <c r="F155" s="5">
        <v>7.8</v>
      </c>
      <c r="G155" s="26">
        <v>22713</v>
      </c>
      <c r="H155" s="6">
        <f>+Engagement_Summary[[#This Row],[Total_Followers]]-E151</f>
        <v>125481</v>
      </c>
    </row>
    <row r="156" spans="1:8">
      <c r="A156" s="28">
        <v>45712</v>
      </c>
      <c r="B156" s="26" t="s">
        <v>9</v>
      </c>
      <c r="C156" s="5">
        <v>861</v>
      </c>
      <c r="D156" s="5">
        <v>153</v>
      </c>
      <c r="E156" s="26">
        <v>317007</v>
      </c>
      <c r="F156" s="5">
        <v>3.85</v>
      </c>
      <c r="G156" s="26">
        <v>8718</v>
      </c>
      <c r="H156" s="6">
        <f>+Engagement_Summary[[#This Row],[Total_Followers]]-E152</f>
        <v>171399</v>
      </c>
    </row>
    <row r="157" spans="1:8">
      <c r="A157" s="28">
        <v>45712</v>
      </c>
      <c r="B157" s="26" t="s">
        <v>10</v>
      </c>
      <c r="C157" s="5">
        <v>1063</v>
      </c>
      <c r="D157" s="5">
        <v>47</v>
      </c>
      <c r="E157" s="26">
        <v>464239</v>
      </c>
      <c r="F157" s="5">
        <v>6.58</v>
      </c>
      <c r="G157" s="26">
        <v>39031</v>
      </c>
      <c r="H157" s="6">
        <f>+Engagement_Summary[[#This Row],[Total_Followers]]-E153</f>
        <v>358259</v>
      </c>
    </row>
    <row r="158" spans="1:8">
      <c r="A158" s="28">
        <v>45719</v>
      </c>
      <c r="B158" s="26" t="s">
        <v>7</v>
      </c>
      <c r="C158" s="5">
        <v>1371</v>
      </c>
      <c r="D158" s="5">
        <v>56</v>
      </c>
      <c r="E158" s="26">
        <v>257579</v>
      </c>
      <c r="F158" s="5">
        <v>8.6199999999999992</v>
      </c>
      <c r="G158" s="26">
        <v>33799</v>
      </c>
      <c r="H158" s="6">
        <f>+Engagement_Summary[[#This Row],[Total_Followers]]-E154</f>
        <v>131055</v>
      </c>
    </row>
    <row r="159" spans="1:8">
      <c r="A159" s="28">
        <v>45719</v>
      </c>
      <c r="B159" s="26" t="s">
        <v>8</v>
      </c>
      <c r="C159" s="5">
        <v>345</v>
      </c>
      <c r="D159" s="5">
        <v>464</v>
      </c>
      <c r="E159" s="26">
        <v>366881</v>
      </c>
      <c r="F159" s="5">
        <v>4.55</v>
      </c>
      <c r="G159" s="26">
        <v>20553</v>
      </c>
      <c r="H159" s="6">
        <f>+Engagement_Summary[[#This Row],[Total_Followers]]-E155</f>
        <v>136433</v>
      </c>
    </row>
    <row r="160" spans="1:8">
      <c r="A160" s="28">
        <v>45719</v>
      </c>
      <c r="B160" s="26" t="s">
        <v>9</v>
      </c>
      <c r="C160" s="5">
        <v>946</v>
      </c>
      <c r="D160" s="5">
        <v>47</v>
      </c>
      <c r="E160" s="26">
        <v>466575</v>
      </c>
      <c r="F160" s="5">
        <v>8.33</v>
      </c>
      <c r="G160" s="26">
        <v>10002</v>
      </c>
      <c r="H160" s="6">
        <f>+Engagement_Summary[[#This Row],[Total_Followers]]-E156</f>
        <v>149568</v>
      </c>
    </row>
    <row r="161" spans="1:8">
      <c r="A161" s="28">
        <v>45719</v>
      </c>
      <c r="B161" s="26" t="s">
        <v>10</v>
      </c>
      <c r="C161" s="5">
        <v>510</v>
      </c>
      <c r="D161" s="5">
        <v>195</v>
      </c>
      <c r="E161" s="26">
        <v>224534</v>
      </c>
      <c r="F161" s="5">
        <v>9.4</v>
      </c>
      <c r="G161" s="26">
        <v>30987</v>
      </c>
      <c r="H161" s="6">
        <f>+Engagement_Summary[[#This Row],[Total_Followers]]-E157</f>
        <v>-239705</v>
      </c>
    </row>
    <row r="162" spans="1:8">
      <c r="A162" s="28">
        <v>45726</v>
      </c>
      <c r="B162" s="26" t="s">
        <v>7</v>
      </c>
      <c r="C162" s="5">
        <v>393</v>
      </c>
      <c r="D162" s="5">
        <v>181</v>
      </c>
      <c r="E162" s="26">
        <v>462142</v>
      </c>
      <c r="F162" s="5">
        <v>7.23</v>
      </c>
      <c r="G162" s="26">
        <v>6296</v>
      </c>
      <c r="H162" s="6">
        <f>+Engagement_Summary[[#This Row],[Total_Followers]]-E158</f>
        <v>204563</v>
      </c>
    </row>
    <row r="163" spans="1:8">
      <c r="A163" s="28">
        <v>45726</v>
      </c>
      <c r="B163" s="26" t="s">
        <v>8</v>
      </c>
      <c r="C163" s="5">
        <v>1098</v>
      </c>
      <c r="D163" s="5">
        <v>190</v>
      </c>
      <c r="E163" s="26">
        <v>340842</v>
      </c>
      <c r="F163" s="5">
        <v>9.39</v>
      </c>
      <c r="G163" s="26">
        <v>21539</v>
      </c>
      <c r="H163" s="6">
        <f>+Engagement_Summary[[#This Row],[Total_Followers]]-E159</f>
        <v>-26039</v>
      </c>
    </row>
    <row r="164" spans="1:8">
      <c r="A164" s="28">
        <v>45726</v>
      </c>
      <c r="B164" s="26" t="s">
        <v>9</v>
      </c>
      <c r="C164" s="5">
        <v>1399</v>
      </c>
      <c r="D164" s="5">
        <v>49</v>
      </c>
      <c r="E164" s="26">
        <v>12471</v>
      </c>
      <c r="F164" s="5">
        <v>5.12</v>
      </c>
      <c r="G164" s="26">
        <v>14722</v>
      </c>
      <c r="H164" s="6">
        <f>+Engagement_Summary[[#This Row],[Total_Followers]]-E160</f>
        <v>-454104</v>
      </c>
    </row>
    <row r="165" spans="1:8">
      <c r="A165" s="28">
        <v>45726</v>
      </c>
      <c r="B165" s="26" t="s">
        <v>10</v>
      </c>
      <c r="C165" s="5">
        <v>1658</v>
      </c>
      <c r="D165" s="5">
        <v>416</v>
      </c>
      <c r="E165" s="26">
        <v>98397</v>
      </c>
      <c r="F165" s="5">
        <v>6.11</v>
      </c>
      <c r="G165" s="26">
        <v>11383</v>
      </c>
      <c r="H165" s="6">
        <f>+Engagement_Summary[[#This Row],[Total_Followers]]-E161</f>
        <v>-126137</v>
      </c>
    </row>
    <row r="166" spans="1:8">
      <c r="A166" s="28">
        <v>45733</v>
      </c>
      <c r="B166" s="26" t="s">
        <v>7</v>
      </c>
      <c r="C166" s="5">
        <v>1102</v>
      </c>
      <c r="D166" s="5">
        <v>422</v>
      </c>
      <c r="E166" s="26">
        <v>410330</v>
      </c>
      <c r="F166" s="5">
        <v>7.74</v>
      </c>
      <c r="G166" s="26">
        <v>9480</v>
      </c>
      <c r="H166" s="6">
        <f>+Engagement_Summary[[#This Row],[Total_Followers]]-E162</f>
        <v>-51812</v>
      </c>
    </row>
    <row r="167" spans="1:8">
      <c r="A167" s="28">
        <v>45733</v>
      </c>
      <c r="B167" s="26" t="s">
        <v>8</v>
      </c>
      <c r="C167" s="5">
        <v>1358</v>
      </c>
      <c r="D167" s="5">
        <v>242</v>
      </c>
      <c r="E167" s="26">
        <v>342129</v>
      </c>
      <c r="F167" s="5">
        <v>4.9400000000000004</v>
      </c>
      <c r="G167" s="26">
        <v>29116</v>
      </c>
      <c r="H167" s="6">
        <f>+Engagement_Summary[[#This Row],[Total_Followers]]-E163</f>
        <v>1287</v>
      </c>
    </row>
    <row r="168" spans="1:8">
      <c r="A168" s="28">
        <v>45733</v>
      </c>
      <c r="B168" s="26" t="s">
        <v>9</v>
      </c>
      <c r="C168" s="5">
        <v>1077</v>
      </c>
      <c r="D168" s="5">
        <v>216</v>
      </c>
      <c r="E168" s="26">
        <v>12447</v>
      </c>
      <c r="F168" s="5">
        <v>1.8</v>
      </c>
      <c r="G168" s="26">
        <v>14068</v>
      </c>
      <c r="H168" s="6">
        <f>+Engagement_Summary[[#This Row],[Total_Followers]]-E164</f>
        <v>-24</v>
      </c>
    </row>
    <row r="169" spans="1:8">
      <c r="A169" s="28">
        <v>45733</v>
      </c>
      <c r="B169" s="26" t="s">
        <v>10</v>
      </c>
      <c r="C169" s="5">
        <v>1596</v>
      </c>
      <c r="D169" s="5">
        <v>211</v>
      </c>
      <c r="E169" s="26">
        <v>17380</v>
      </c>
      <c r="F169" s="5">
        <v>8.64</v>
      </c>
      <c r="G169" s="26">
        <v>35801</v>
      </c>
      <c r="H169" s="6">
        <f>+Engagement_Summary[[#This Row],[Total_Followers]]-E165</f>
        <v>-81017</v>
      </c>
    </row>
    <row r="170" spans="1:8">
      <c r="A170" s="28">
        <v>45740</v>
      </c>
      <c r="B170" s="26" t="s">
        <v>7</v>
      </c>
      <c r="C170" s="5">
        <v>490</v>
      </c>
      <c r="D170" s="5">
        <v>29</v>
      </c>
      <c r="E170" s="26">
        <v>364810</v>
      </c>
      <c r="F170" s="5">
        <v>1.53</v>
      </c>
      <c r="G170" s="26">
        <v>49077</v>
      </c>
      <c r="H170" s="6">
        <f>+Engagement_Summary[[#This Row],[Total_Followers]]-E166</f>
        <v>-45520</v>
      </c>
    </row>
    <row r="171" spans="1:8">
      <c r="A171" s="28">
        <v>45740</v>
      </c>
      <c r="B171" s="26" t="s">
        <v>8</v>
      </c>
      <c r="C171" s="5">
        <v>609</v>
      </c>
      <c r="D171" s="5">
        <v>135</v>
      </c>
      <c r="E171" s="26">
        <v>373606</v>
      </c>
      <c r="F171" s="5">
        <v>8.52</v>
      </c>
      <c r="G171" s="26">
        <v>21453</v>
      </c>
      <c r="H171" s="6">
        <f>+Engagement_Summary[[#This Row],[Total_Followers]]-E167</f>
        <v>31477</v>
      </c>
    </row>
    <row r="172" spans="1:8">
      <c r="A172" s="28">
        <v>45740</v>
      </c>
      <c r="B172" s="26" t="s">
        <v>9</v>
      </c>
      <c r="C172" s="5">
        <v>364</v>
      </c>
      <c r="D172" s="5">
        <v>72</v>
      </c>
      <c r="E172" s="26">
        <v>211090</v>
      </c>
      <c r="F172" s="5">
        <v>5.53</v>
      </c>
      <c r="G172" s="26">
        <v>21061</v>
      </c>
      <c r="H172" s="6">
        <f>+Engagement_Summary[[#This Row],[Total_Followers]]-E168</f>
        <v>198643</v>
      </c>
    </row>
    <row r="173" spans="1:8">
      <c r="A173" s="28">
        <v>45740</v>
      </c>
      <c r="B173" s="26" t="s">
        <v>10</v>
      </c>
      <c r="C173" s="5">
        <v>442</v>
      </c>
      <c r="D173" s="5">
        <v>53</v>
      </c>
      <c r="E173" s="26">
        <v>441931</v>
      </c>
      <c r="F173" s="5">
        <v>1.87</v>
      </c>
      <c r="G173" s="26">
        <v>20059</v>
      </c>
      <c r="H173" s="6">
        <f>+Engagement_Summary[[#This Row],[Total_Followers]]-E169</f>
        <v>424551</v>
      </c>
    </row>
    <row r="174" spans="1:8">
      <c r="A174" s="28">
        <v>45747</v>
      </c>
      <c r="B174" s="26" t="s">
        <v>7</v>
      </c>
      <c r="C174" s="5">
        <v>1033</v>
      </c>
      <c r="D174" s="5">
        <v>392</v>
      </c>
      <c r="E174" s="26">
        <v>282780</v>
      </c>
      <c r="F174" s="5">
        <v>6.27</v>
      </c>
      <c r="G174" s="26">
        <v>23140</v>
      </c>
      <c r="H174" s="6">
        <f>+Engagement_Summary[[#This Row],[Total_Followers]]-E170</f>
        <v>-82030</v>
      </c>
    </row>
    <row r="175" spans="1:8">
      <c r="A175" s="28">
        <v>45747</v>
      </c>
      <c r="B175" s="26" t="s">
        <v>8</v>
      </c>
      <c r="C175" s="5">
        <v>988</v>
      </c>
      <c r="D175" s="5">
        <v>474</v>
      </c>
      <c r="E175" s="26">
        <v>370070</v>
      </c>
      <c r="F175" s="5">
        <v>9.4600000000000009</v>
      </c>
      <c r="G175" s="26">
        <v>23461</v>
      </c>
      <c r="H175" s="6">
        <f>+Engagement_Summary[[#This Row],[Total_Followers]]-E171</f>
        <v>-3536</v>
      </c>
    </row>
    <row r="176" spans="1:8">
      <c r="A176" s="28">
        <v>45747</v>
      </c>
      <c r="B176" s="26" t="s">
        <v>9</v>
      </c>
      <c r="C176" s="5">
        <v>1946</v>
      </c>
      <c r="D176" s="5">
        <v>270</v>
      </c>
      <c r="E176" s="26">
        <v>198350</v>
      </c>
      <c r="F176" s="5">
        <v>7.5</v>
      </c>
      <c r="G176" s="26">
        <v>11805</v>
      </c>
      <c r="H176" s="6">
        <f>+Engagement_Summary[[#This Row],[Total_Followers]]-E172</f>
        <v>-12740</v>
      </c>
    </row>
    <row r="177" spans="1:8">
      <c r="A177" s="28">
        <v>45747</v>
      </c>
      <c r="B177" s="26" t="s">
        <v>10</v>
      </c>
      <c r="C177" s="5">
        <v>1957</v>
      </c>
      <c r="D177" s="5">
        <v>490</v>
      </c>
      <c r="E177" s="26">
        <v>435726</v>
      </c>
      <c r="F177" s="5">
        <v>4.7300000000000004</v>
      </c>
      <c r="G177" s="26">
        <v>15969</v>
      </c>
      <c r="H177" s="6">
        <f>+Engagement_Summary[[#This Row],[Total_Followers]]-E173</f>
        <v>-6205</v>
      </c>
    </row>
    <row r="178" spans="1:8">
      <c r="A178" s="28">
        <v>45754</v>
      </c>
      <c r="B178" s="26" t="s">
        <v>7</v>
      </c>
      <c r="C178" s="5">
        <v>559</v>
      </c>
      <c r="D178" s="5">
        <v>392</v>
      </c>
      <c r="E178" s="26">
        <v>78789</v>
      </c>
      <c r="F178" s="5">
        <v>3.19</v>
      </c>
      <c r="G178" s="26">
        <v>2436</v>
      </c>
      <c r="H178" s="6">
        <f>+Engagement_Summary[[#This Row],[Total_Followers]]-E174</f>
        <v>-203991</v>
      </c>
    </row>
    <row r="179" spans="1:8">
      <c r="A179" s="28">
        <v>45754</v>
      </c>
      <c r="B179" s="26" t="s">
        <v>8</v>
      </c>
      <c r="C179" s="5">
        <v>1307</v>
      </c>
      <c r="D179" s="5">
        <v>278</v>
      </c>
      <c r="E179" s="26">
        <v>98596</v>
      </c>
      <c r="F179" s="5">
        <v>2.4900000000000002</v>
      </c>
      <c r="G179" s="26">
        <v>47603</v>
      </c>
      <c r="H179" s="6">
        <f>+Engagement_Summary[[#This Row],[Total_Followers]]-E175</f>
        <v>-271474</v>
      </c>
    </row>
    <row r="180" spans="1:8">
      <c r="A180" s="28">
        <v>45754</v>
      </c>
      <c r="B180" s="26" t="s">
        <v>9</v>
      </c>
      <c r="C180" s="5">
        <v>1432</v>
      </c>
      <c r="D180" s="5">
        <v>425</v>
      </c>
      <c r="E180" s="26">
        <v>29589</v>
      </c>
      <c r="F180" s="5">
        <v>4.5</v>
      </c>
      <c r="G180" s="26">
        <v>42964</v>
      </c>
      <c r="H180" s="6">
        <f>+Engagement_Summary[[#This Row],[Total_Followers]]-E176</f>
        <v>-168761</v>
      </c>
    </row>
    <row r="181" spans="1:8">
      <c r="A181" s="28">
        <v>45754</v>
      </c>
      <c r="B181" s="26" t="s">
        <v>10</v>
      </c>
      <c r="C181" s="5">
        <v>623</v>
      </c>
      <c r="D181" s="5">
        <v>414</v>
      </c>
      <c r="E181" s="26">
        <v>290354</v>
      </c>
      <c r="F181" s="5">
        <v>6.49</v>
      </c>
      <c r="G181" s="26">
        <v>39923</v>
      </c>
      <c r="H181" s="6">
        <f>+Engagement_Summary[[#This Row],[Total_Followers]]-E177</f>
        <v>-145372</v>
      </c>
    </row>
    <row r="182" spans="1:8">
      <c r="A182" s="28">
        <v>45761</v>
      </c>
      <c r="B182" s="26" t="s">
        <v>7</v>
      </c>
      <c r="C182" s="5">
        <v>198</v>
      </c>
      <c r="D182" s="5">
        <v>358</v>
      </c>
      <c r="E182" s="26">
        <v>66682</v>
      </c>
      <c r="F182" s="5">
        <v>6.73</v>
      </c>
      <c r="G182" s="26">
        <v>2293</v>
      </c>
      <c r="H182" s="6">
        <f>+Engagement_Summary[[#This Row],[Total_Followers]]-E178</f>
        <v>-12107</v>
      </c>
    </row>
    <row r="183" spans="1:8">
      <c r="A183" s="28">
        <v>45761</v>
      </c>
      <c r="B183" s="26" t="s">
        <v>8</v>
      </c>
      <c r="C183" s="5">
        <v>198</v>
      </c>
      <c r="D183" s="5">
        <v>373</v>
      </c>
      <c r="E183" s="26">
        <v>70707</v>
      </c>
      <c r="F183" s="5">
        <v>4.83</v>
      </c>
      <c r="G183" s="26">
        <v>25920</v>
      </c>
      <c r="H183" s="6">
        <f>+Engagement_Summary[[#This Row],[Total_Followers]]-E179</f>
        <v>-27889</v>
      </c>
    </row>
    <row r="184" spans="1:8">
      <c r="A184" s="28">
        <v>45761</v>
      </c>
      <c r="B184" s="26" t="s">
        <v>9</v>
      </c>
      <c r="C184" s="5">
        <v>353</v>
      </c>
      <c r="D184" s="5">
        <v>300</v>
      </c>
      <c r="E184" s="26">
        <v>142507</v>
      </c>
      <c r="F184" s="5">
        <v>5.3</v>
      </c>
      <c r="G184" s="26">
        <v>11035</v>
      </c>
      <c r="H184" s="6">
        <f>+Engagement_Summary[[#This Row],[Total_Followers]]-E180</f>
        <v>112918</v>
      </c>
    </row>
    <row r="185" spans="1:8">
      <c r="A185" s="28">
        <v>45761</v>
      </c>
      <c r="B185" s="26" t="s">
        <v>10</v>
      </c>
      <c r="C185" s="5">
        <v>520</v>
      </c>
      <c r="D185" s="5">
        <v>375</v>
      </c>
      <c r="E185" s="26">
        <v>369525</v>
      </c>
      <c r="F185" s="5">
        <v>6.54</v>
      </c>
      <c r="G185" s="26">
        <v>20733</v>
      </c>
      <c r="H185" s="6">
        <f>+Engagement_Summary[[#This Row],[Total_Followers]]-E181</f>
        <v>79171</v>
      </c>
    </row>
    <row r="186" spans="1:8">
      <c r="A186" s="28">
        <v>45768</v>
      </c>
      <c r="B186" s="26" t="s">
        <v>7</v>
      </c>
      <c r="C186" s="5">
        <v>961</v>
      </c>
      <c r="D186" s="5">
        <v>358</v>
      </c>
      <c r="E186" s="26">
        <v>62942</v>
      </c>
      <c r="F186" s="5">
        <v>6.8</v>
      </c>
      <c r="G186" s="26">
        <v>18693</v>
      </c>
      <c r="H186" s="6">
        <f>+Engagement_Summary[[#This Row],[Total_Followers]]-E182</f>
        <v>-3740</v>
      </c>
    </row>
    <row r="187" spans="1:8">
      <c r="A187" s="28">
        <v>45768</v>
      </c>
      <c r="B187" s="26" t="s">
        <v>8</v>
      </c>
      <c r="C187" s="5">
        <v>1375</v>
      </c>
      <c r="D187" s="5">
        <v>330</v>
      </c>
      <c r="E187" s="26">
        <v>377382</v>
      </c>
      <c r="F187" s="5">
        <v>2.6</v>
      </c>
      <c r="G187" s="26">
        <v>7875</v>
      </c>
      <c r="H187" s="6">
        <f>+Engagement_Summary[[#This Row],[Total_Followers]]-E183</f>
        <v>306675</v>
      </c>
    </row>
    <row r="188" spans="1:8">
      <c r="A188" s="28">
        <v>45768</v>
      </c>
      <c r="B188" s="26" t="s">
        <v>9</v>
      </c>
      <c r="C188" s="5">
        <v>1147</v>
      </c>
      <c r="D188" s="5">
        <v>388</v>
      </c>
      <c r="E188" s="26">
        <v>333851</v>
      </c>
      <c r="F188" s="5">
        <v>2.44</v>
      </c>
      <c r="G188" s="26">
        <v>8471</v>
      </c>
      <c r="H188" s="6">
        <f>+Engagement_Summary[[#This Row],[Total_Followers]]-E184</f>
        <v>191344</v>
      </c>
    </row>
    <row r="189" spans="1:8">
      <c r="A189" s="28">
        <v>45768</v>
      </c>
      <c r="B189" s="26" t="s">
        <v>10</v>
      </c>
      <c r="C189" s="5">
        <v>1707</v>
      </c>
      <c r="D189" s="5">
        <v>74</v>
      </c>
      <c r="E189" s="26">
        <v>270958</v>
      </c>
      <c r="F189" s="5">
        <v>3.09</v>
      </c>
      <c r="G189" s="26">
        <v>14090</v>
      </c>
      <c r="H189" s="6">
        <f>+Engagement_Summary[[#This Row],[Total_Followers]]-E185</f>
        <v>-98567</v>
      </c>
    </row>
    <row r="190" spans="1:8">
      <c r="A190" s="28">
        <v>45775</v>
      </c>
      <c r="B190" s="26" t="s">
        <v>7</v>
      </c>
      <c r="C190" s="5">
        <v>1693</v>
      </c>
      <c r="D190" s="5">
        <v>154</v>
      </c>
      <c r="E190" s="26">
        <v>445944</v>
      </c>
      <c r="F190" s="5">
        <v>5.69</v>
      </c>
      <c r="G190" s="26">
        <v>14216</v>
      </c>
      <c r="H190" s="6">
        <f>+Engagement_Summary[[#This Row],[Total_Followers]]-E186</f>
        <v>383002</v>
      </c>
    </row>
    <row r="191" spans="1:8">
      <c r="A191" s="28">
        <v>45775</v>
      </c>
      <c r="B191" s="26" t="s">
        <v>8</v>
      </c>
      <c r="C191" s="5">
        <v>833</v>
      </c>
      <c r="D191" s="5">
        <v>380</v>
      </c>
      <c r="E191" s="26">
        <v>224830</v>
      </c>
      <c r="F191" s="5">
        <v>3.86</v>
      </c>
      <c r="G191" s="26">
        <v>3582</v>
      </c>
      <c r="H191" s="6">
        <f>+Engagement_Summary[[#This Row],[Total_Followers]]-E187</f>
        <v>-152552</v>
      </c>
    </row>
    <row r="192" spans="1:8">
      <c r="A192" s="28">
        <v>45775</v>
      </c>
      <c r="B192" s="26" t="s">
        <v>9</v>
      </c>
      <c r="C192" s="5">
        <v>1222</v>
      </c>
      <c r="D192" s="5">
        <v>274</v>
      </c>
      <c r="E192" s="26">
        <v>487289</v>
      </c>
      <c r="F192" s="5">
        <v>3.16</v>
      </c>
      <c r="G192" s="26">
        <v>32500</v>
      </c>
      <c r="H192" s="6">
        <f>+Engagement_Summary[[#This Row],[Total_Followers]]-E188</f>
        <v>153438</v>
      </c>
    </row>
    <row r="193" spans="1:8">
      <c r="A193" s="28">
        <v>45775</v>
      </c>
      <c r="B193" s="26" t="s">
        <v>10</v>
      </c>
      <c r="C193" s="5">
        <v>777</v>
      </c>
      <c r="D193" s="5">
        <v>140</v>
      </c>
      <c r="E193" s="26">
        <v>11435</v>
      </c>
      <c r="F193" s="5">
        <v>1.6</v>
      </c>
      <c r="G193" s="26">
        <v>6832</v>
      </c>
      <c r="H193" s="6">
        <f>+Engagement_Summary[[#This Row],[Total_Followers]]-E189</f>
        <v>-259523</v>
      </c>
    </row>
    <row r="194" spans="1:8">
      <c r="A194" s="28">
        <v>45782</v>
      </c>
      <c r="B194" s="26" t="s">
        <v>7</v>
      </c>
      <c r="C194" s="5">
        <v>1957</v>
      </c>
      <c r="D194" s="5">
        <v>76</v>
      </c>
      <c r="E194" s="26">
        <v>447902</v>
      </c>
      <c r="F194" s="5">
        <v>6.09</v>
      </c>
      <c r="G194" s="26">
        <v>33381</v>
      </c>
      <c r="H194" s="6">
        <f>+Engagement_Summary[[#This Row],[Total_Followers]]-E190</f>
        <v>1958</v>
      </c>
    </row>
    <row r="195" spans="1:8">
      <c r="A195" s="28">
        <v>45782</v>
      </c>
      <c r="B195" s="26" t="s">
        <v>8</v>
      </c>
      <c r="C195" s="5">
        <v>405</v>
      </c>
      <c r="D195" s="5">
        <v>66</v>
      </c>
      <c r="E195" s="26">
        <v>418696</v>
      </c>
      <c r="F195" s="5">
        <v>5.59</v>
      </c>
      <c r="G195" s="26">
        <v>48419</v>
      </c>
      <c r="H195" s="6">
        <f>+Engagement_Summary[[#This Row],[Total_Followers]]-E191</f>
        <v>193866</v>
      </c>
    </row>
    <row r="196" spans="1:8">
      <c r="A196" s="28">
        <v>45782</v>
      </c>
      <c r="B196" s="26" t="s">
        <v>9</v>
      </c>
      <c r="C196" s="5">
        <v>1581</v>
      </c>
      <c r="D196" s="5">
        <v>71</v>
      </c>
      <c r="E196" s="26">
        <v>484364</v>
      </c>
      <c r="F196" s="5">
        <v>3.55</v>
      </c>
      <c r="G196" s="26">
        <v>16149</v>
      </c>
      <c r="H196" s="6">
        <f>+Engagement_Summary[[#This Row],[Total_Followers]]-E192</f>
        <v>-2925</v>
      </c>
    </row>
    <row r="197" spans="1:8">
      <c r="A197" s="28">
        <v>45782</v>
      </c>
      <c r="B197" s="26" t="s">
        <v>10</v>
      </c>
      <c r="C197" s="5">
        <v>1035</v>
      </c>
      <c r="D197" s="5">
        <v>171</v>
      </c>
      <c r="E197" s="26">
        <v>148477</v>
      </c>
      <c r="F197" s="5">
        <v>5.21</v>
      </c>
      <c r="G197" s="26">
        <v>7541</v>
      </c>
      <c r="H197" s="6">
        <f>+Engagement_Summary[[#This Row],[Total_Followers]]-E193</f>
        <v>137042</v>
      </c>
    </row>
    <row r="198" spans="1:8">
      <c r="A198" s="28">
        <v>45789</v>
      </c>
      <c r="B198" s="26" t="s">
        <v>7</v>
      </c>
      <c r="C198" s="5">
        <v>1765</v>
      </c>
      <c r="D198" s="5">
        <v>109</v>
      </c>
      <c r="E198" s="26">
        <v>468301</v>
      </c>
      <c r="F198" s="5">
        <v>1.82</v>
      </c>
      <c r="G198" s="26">
        <v>20042</v>
      </c>
      <c r="H198" s="6">
        <f>+Engagement_Summary[[#This Row],[Total_Followers]]-E194</f>
        <v>20399</v>
      </c>
    </row>
    <row r="199" spans="1:8">
      <c r="A199" s="28">
        <v>45789</v>
      </c>
      <c r="B199" s="26" t="s">
        <v>8</v>
      </c>
      <c r="C199" s="5">
        <v>837</v>
      </c>
      <c r="D199" s="5">
        <v>430</v>
      </c>
      <c r="E199" s="26">
        <v>364820</v>
      </c>
      <c r="F199" s="5">
        <v>4</v>
      </c>
      <c r="G199" s="26">
        <v>49400</v>
      </c>
      <c r="H199" s="6">
        <f>+Engagement_Summary[[#This Row],[Total_Followers]]-E195</f>
        <v>-53876</v>
      </c>
    </row>
    <row r="200" spans="1:8">
      <c r="A200" s="28">
        <v>45789</v>
      </c>
      <c r="B200" s="26" t="s">
        <v>9</v>
      </c>
      <c r="C200" s="5">
        <v>337</v>
      </c>
      <c r="D200" s="5">
        <v>68</v>
      </c>
      <c r="E200" s="26">
        <v>456298</v>
      </c>
      <c r="F200" s="5">
        <v>7.57</v>
      </c>
      <c r="G200" s="26">
        <v>4007</v>
      </c>
      <c r="H200" s="6">
        <f>+Engagement_Summary[[#This Row],[Total_Followers]]-E196</f>
        <v>-28066</v>
      </c>
    </row>
    <row r="201" spans="1:8">
      <c r="A201" s="28">
        <v>45789</v>
      </c>
      <c r="B201" s="26" t="s">
        <v>10</v>
      </c>
      <c r="C201" s="5">
        <v>119</v>
      </c>
      <c r="D201" s="5">
        <v>456</v>
      </c>
      <c r="E201" s="26">
        <v>82558</v>
      </c>
      <c r="F201" s="5">
        <v>6.81</v>
      </c>
      <c r="G201" s="26">
        <v>12174</v>
      </c>
      <c r="H201" s="6">
        <f>+Engagement_Summary[[#This Row],[Total_Followers]]-E197</f>
        <v>-65919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B2B8A-37FD-4A0C-AC5E-A125356BA1DA}">
  <dimension ref="A2:J257"/>
  <sheetViews>
    <sheetView workbookViewId="0">
      <selection activeCell="C5" sqref="C5"/>
    </sheetView>
  </sheetViews>
  <sheetFormatPr defaultRowHeight="15"/>
  <cols>
    <col min="1" max="1" width="17.42578125" bestFit="1" customWidth="1"/>
    <col min="2" max="2" width="21.7109375" bestFit="1" customWidth="1"/>
    <col min="3" max="3" width="16.85546875" bestFit="1" customWidth="1"/>
    <col min="4" max="4" width="9.85546875" bestFit="1" customWidth="1"/>
    <col min="5" max="5" width="15.140625" bestFit="1" customWidth="1"/>
    <col min="6" max="6" width="8.5703125" bestFit="1" customWidth="1"/>
    <col min="7" max="7" width="11.28515625" bestFit="1" customWidth="1"/>
    <col min="8" max="8" width="15.85546875" bestFit="1" customWidth="1"/>
  </cols>
  <sheetData>
    <row r="2" spans="2:10">
      <c r="B2" s="7" t="s">
        <v>14</v>
      </c>
      <c r="C2" s="7" t="s">
        <v>13</v>
      </c>
    </row>
    <row r="3" spans="2:10">
      <c r="B3" s="7" t="s">
        <v>11</v>
      </c>
      <c r="C3" t="s">
        <v>8</v>
      </c>
      <c r="D3" t="s">
        <v>7</v>
      </c>
      <c r="E3" t="s">
        <v>9</v>
      </c>
      <c r="F3" t="s">
        <v>10</v>
      </c>
      <c r="G3" t="s">
        <v>12</v>
      </c>
    </row>
    <row r="4" spans="2:10">
      <c r="B4" s="8">
        <v>45446</v>
      </c>
      <c r="C4">
        <v>42654</v>
      </c>
      <c r="D4">
        <v>344084</v>
      </c>
      <c r="E4">
        <v>146834</v>
      </c>
      <c r="F4">
        <v>395536</v>
      </c>
      <c r="G4">
        <v>395536</v>
      </c>
      <c r="J4" s="10"/>
    </row>
    <row r="5" spans="2:10">
      <c r="B5" s="8">
        <v>45453</v>
      </c>
      <c r="C5">
        <v>316555</v>
      </c>
      <c r="D5">
        <v>49157</v>
      </c>
      <c r="E5">
        <v>254347</v>
      </c>
      <c r="F5">
        <v>413878</v>
      </c>
      <c r="G5">
        <v>413878</v>
      </c>
    </row>
    <row r="6" spans="2:10">
      <c r="B6" s="8">
        <v>45460</v>
      </c>
      <c r="C6">
        <v>169496</v>
      </c>
      <c r="D6">
        <v>456946</v>
      </c>
      <c r="E6">
        <v>122732</v>
      </c>
      <c r="F6">
        <v>382851</v>
      </c>
      <c r="G6">
        <v>456946</v>
      </c>
    </row>
    <row r="7" spans="2:10">
      <c r="B7" s="8">
        <v>45467</v>
      </c>
      <c r="C7">
        <v>26295</v>
      </c>
      <c r="D7">
        <v>35664</v>
      </c>
      <c r="E7">
        <v>298421</v>
      </c>
      <c r="F7">
        <v>426184</v>
      </c>
      <c r="G7">
        <v>426184</v>
      </c>
    </row>
    <row r="8" spans="2:10">
      <c r="B8" s="8">
        <v>45474</v>
      </c>
      <c r="C8">
        <v>220020</v>
      </c>
      <c r="D8">
        <v>419447</v>
      </c>
      <c r="E8">
        <v>315305</v>
      </c>
      <c r="F8">
        <v>113678</v>
      </c>
      <c r="G8">
        <v>419447</v>
      </c>
    </row>
    <row r="9" spans="2:10">
      <c r="B9" s="8">
        <v>45481</v>
      </c>
      <c r="C9">
        <v>251694</v>
      </c>
      <c r="D9">
        <v>58223</v>
      </c>
      <c r="E9">
        <v>389810</v>
      </c>
      <c r="F9">
        <v>233694</v>
      </c>
      <c r="G9">
        <v>389810</v>
      </c>
    </row>
    <row r="10" spans="2:10">
      <c r="B10" s="8">
        <v>45488</v>
      </c>
      <c r="C10">
        <v>334626</v>
      </c>
      <c r="D10">
        <v>154169</v>
      </c>
      <c r="E10">
        <v>226002</v>
      </c>
      <c r="F10">
        <v>156683</v>
      </c>
      <c r="G10">
        <v>334626</v>
      </c>
    </row>
    <row r="11" spans="2:10">
      <c r="B11" s="8">
        <v>45495</v>
      </c>
      <c r="C11">
        <v>295032</v>
      </c>
      <c r="D11">
        <v>473812</v>
      </c>
      <c r="E11">
        <v>198278</v>
      </c>
      <c r="F11">
        <v>306564</v>
      </c>
      <c r="G11">
        <v>473812</v>
      </c>
    </row>
    <row r="12" spans="2:10">
      <c r="B12" s="8">
        <v>45502</v>
      </c>
      <c r="C12">
        <v>435034</v>
      </c>
      <c r="D12">
        <v>23664</v>
      </c>
      <c r="E12">
        <v>287574</v>
      </c>
      <c r="F12">
        <v>62499</v>
      </c>
      <c r="G12">
        <v>435034</v>
      </c>
    </row>
    <row r="13" spans="2:10">
      <c r="B13" s="8">
        <v>45509</v>
      </c>
      <c r="C13">
        <v>125034</v>
      </c>
      <c r="D13">
        <v>437968</v>
      </c>
      <c r="E13">
        <v>449994</v>
      </c>
      <c r="F13">
        <v>320650</v>
      </c>
      <c r="G13">
        <v>449994</v>
      </c>
    </row>
    <row r="14" spans="2:10">
      <c r="B14" s="8">
        <v>45516</v>
      </c>
      <c r="C14">
        <v>307612</v>
      </c>
      <c r="D14">
        <v>489188</v>
      </c>
      <c r="E14">
        <v>434883</v>
      </c>
      <c r="F14">
        <v>102042</v>
      </c>
      <c r="G14">
        <v>489188</v>
      </c>
    </row>
    <row r="15" spans="2:10">
      <c r="B15" s="8">
        <v>45523</v>
      </c>
      <c r="C15">
        <v>183924</v>
      </c>
      <c r="D15">
        <v>325444</v>
      </c>
      <c r="E15">
        <v>188655</v>
      </c>
      <c r="F15">
        <v>87443</v>
      </c>
      <c r="G15">
        <v>325444</v>
      </c>
    </row>
    <row r="16" spans="2:10">
      <c r="B16" s="8">
        <v>45530</v>
      </c>
      <c r="C16">
        <v>379380</v>
      </c>
      <c r="D16">
        <v>453799</v>
      </c>
      <c r="E16">
        <v>186454</v>
      </c>
      <c r="F16">
        <v>239044</v>
      </c>
      <c r="G16">
        <v>453799</v>
      </c>
    </row>
    <row r="17" spans="2:7">
      <c r="B17" s="8">
        <v>45537</v>
      </c>
      <c r="C17">
        <v>496982</v>
      </c>
      <c r="D17">
        <v>101332</v>
      </c>
      <c r="E17">
        <v>318779</v>
      </c>
      <c r="F17">
        <v>370971</v>
      </c>
      <c r="G17">
        <v>496982</v>
      </c>
    </row>
    <row r="18" spans="2:7">
      <c r="B18" s="8">
        <v>45544</v>
      </c>
      <c r="C18">
        <v>307524</v>
      </c>
      <c r="D18">
        <v>378054</v>
      </c>
      <c r="E18">
        <v>434047</v>
      </c>
      <c r="F18">
        <v>64583</v>
      </c>
      <c r="G18">
        <v>434047</v>
      </c>
    </row>
    <row r="19" spans="2:7">
      <c r="B19" s="8">
        <v>45551</v>
      </c>
      <c r="C19">
        <v>474162</v>
      </c>
      <c r="D19">
        <v>50793</v>
      </c>
      <c r="E19">
        <v>392355</v>
      </c>
      <c r="F19">
        <v>119934</v>
      </c>
      <c r="G19">
        <v>474162</v>
      </c>
    </row>
    <row r="20" spans="2:7">
      <c r="B20" s="8">
        <v>45558</v>
      </c>
      <c r="C20">
        <v>239753</v>
      </c>
      <c r="D20">
        <v>422625</v>
      </c>
      <c r="E20">
        <v>268516</v>
      </c>
      <c r="F20">
        <v>63177</v>
      </c>
      <c r="G20">
        <v>422625</v>
      </c>
    </row>
    <row r="21" spans="2:7">
      <c r="B21" s="8">
        <v>45565</v>
      </c>
      <c r="C21">
        <v>453423</v>
      </c>
      <c r="D21">
        <v>370269</v>
      </c>
      <c r="E21">
        <v>64906</v>
      </c>
      <c r="F21">
        <v>94360</v>
      </c>
      <c r="G21">
        <v>453423</v>
      </c>
    </row>
    <row r="22" spans="2:7">
      <c r="B22" s="8">
        <v>45572</v>
      </c>
      <c r="C22">
        <v>379363</v>
      </c>
      <c r="D22">
        <v>187183</v>
      </c>
      <c r="E22">
        <v>476486</v>
      </c>
      <c r="F22">
        <v>117767</v>
      </c>
      <c r="G22">
        <v>476486</v>
      </c>
    </row>
    <row r="23" spans="2:7">
      <c r="B23" s="8">
        <v>45579</v>
      </c>
      <c r="C23">
        <v>157599</v>
      </c>
      <c r="D23">
        <v>388555</v>
      </c>
      <c r="E23">
        <v>309772</v>
      </c>
      <c r="F23">
        <v>199178</v>
      </c>
      <c r="G23">
        <v>388555</v>
      </c>
    </row>
    <row r="24" spans="2:7">
      <c r="B24" s="8">
        <v>45586</v>
      </c>
      <c r="C24">
        <v>23492</v>
      </c>
      <c r="D24">
        <v>357089</v>
      </c>
      <c r="E24">
        <v>258287</v>
      </c>
      <c r="F24">
        <v>256910</v>
      </c>
      <c r="G24">
        <v>357089</v>
      </c>
    </row>
    <row r="25" spans="2:7">
      <c r="B25" s="8">
        <v>45593</v>
      </c>
      <c r="C25">
        <v>209987</v>
      </c>
      <c r="D25">
        <v>346522</v>
      </c>
      <c r="E25">
        <v>240550</v>
      </c>
      <c r="F25">
        <v>305827</v>
      </c>
      <c r="G25">
        <v>346522</v>
      </c>
    </row>
    <row r="26" spans="2:7">
      <c r="B26" s="8">
        <v>45600</v>
      </c>
      <c r="C26">
        <v>319186</v>
      </c>
      <c r="D26">
        <v>54935</v>
      </c>
      <c r="E26">
        <v>439080</v>
      </c>
      <c r="F26">
        <v>258944</v>
      </c>
      <c r="G26">
        <v>439080</v>
      </c>
    </row>
    <row r="27" spans="2:7">
      <c r="B27" s="8">
        <v>45607</v>
      </c>
      <c r="C27">
        <v>309483</v>
      </c>
      <c r="D27">
        <v>51395</v>
      </c>
      <c r="E27">
        <v>87305</v>
      </c>
      <c r="F27">
        <v>121091</v>
      </c>
      <c r="G27">
        <v>309483</v>
      </c>
    </row>
    <row r="28" spans="2:7">
      <c r="B28" s="8">
        <v>45614</v>
      </c>
      <c r="C28">
        <v>338847</v>
      </c>
      <c r="D28">
        <v>51087</v>
      </c>
      <c r="E28">
        <v>487523</v>
      </c>
      <c r="F28">
        <v>301695</v>
      </c>
      <c r="G28">
        <v>487523</v>
      </c>
    </row>
    <row r="29" spans="2:7">
      <c r="B29" s="8">
        <v>45621</v>
      </c>
      <c r="C29">
        <v>336661</v>
      </c>
      <c r="D29">
        <v>282466</v>
      </c>
      <c r="E29">
        <v>88455</v>
      </c>
      <c r="F29">
        <v>62535</v>
      </c>
      <c r="G29">
        <v>336661</v>
      </c>
    </row>
    <row r="30" spans="2:7">
      <c r="B30" s="8">
        <v>45628</v>
      </c>
      <c r="C30">
        <v>470269</v>
      </c>
      <c r="D30">
        <v>421957</v>
      </c>
      <c r="E30">
        <v>309904</v>
      </c>
      <c r="F30">
        <v>221274</v>
      </c>
      <c r="G30">
        <v>470269</v>
      </c>
    </row>
    <row r="31" spans="2:7">
      <c r="B31" s="8">
        <v>45635</v>
      </c>
      <c r="C31">
        <v>35842</v>
      </c>
      <c r="D31">
        <v>220616</v>
      </c>
      <c r="E31">
        <v>20607</v>
      </c>
      <c r="F31">
        <v>451894</v>
      </c>
      <c r="G31">
        <v>451894</v>
      </c>
    </row>
    <row r="32" spans="2:7">
      <c r="B32" s="8">
        <v>45642</v>
      </c>
      <c r="C32">
        <v>415815</v>
      </c>
      <c r="D32">
        <v>465553</v>
      </c>
      <c r="E32">
        <v>327183</v>
      </c>
      <c r="F32">
        <v>488901</v>
      </c>
      <c r="G32">
        <v>488901</v>
      </c>
    </row>
    <row r="33" spans="2:7">
      <c r="B33" s="8">
        <v>45649</v>
      </c>
      <c r="C33">
        <v>93347</v>
      </c>
      <c r="D33">
        <v>280795</v>
      </c>
      <c r="E33">
        <v>81119</v>
      </c>
      <c r="F33">
        <v>25177</v>
      </c>
      <c r="G33">
        <v>280795</v>
      </c>
    </row>
    <row r="34" spans="2:7">
      <c r="B34" s="8">
        <v>45656</v>
      </c>
      <c r="C34">
        <v>379431</v>
      </c>
      <c r="D34">
        <v>140804</v>
      </c>
      <c r="E34">
        <v>274831</v>
      </c>
      <c r="F34">
        <v>136845</v>
      </c>
      <c r="G34">
        <v>379431</v>
      </c>
    </row>
    <row r="35" spans="2:7">
      <c r="B35" s="8">
        <v>45663</v>
      </c>
      <c r="C35">
        <v>95728</v>
      </c>
      <c r="D35">
        <v>466382</v>
      </c>
      <c r="E35">
        <v>371156</v>
      </c>
      <c r="F35">
        <v>95410</v>
      </c>
      <c r="G35">
        <v>466382</v>
      </c>
    </row>
    <row r="36" spans="2:7">
      <c r="B36" s="8">
        <v>45670</v>
      </c>
      <c r="C36">
        <v>224699</v>
      </c>
      <c r="D36">
        <v>349413</v>
      </c>
      <c r="E36">
        <v>487896</v>
      </c>
      <c r="F36">
        <v>14437</v>
      </c>
      <c r="G36">
        <v>487896</v>
      </c>
    </row>
    <row r="37" spans="2:7">
      <c r="B37" s="8">
        <v>45677</v>
      </c>
      <c r="C37">
        <v>479490</v>
      </c>
      <c r="D37">
        <v>383681</v>
      </c>
      <c r="E37">
        <v>124404</v>
      </c>
      <c r="F37">
        <v>336949</v>
      </c>
      <c r="G37">
        <v>479490</v>
      </c>
    </row>
    <row r="38" spans="2:7">
      <c r="B38" s="8">
        <v>45684</v>
      </c>
      <c r="C38">
        <v>321307</v>
      </c>
      <c r="D38">
        <v>357265</v>
      </c>
      <c r="E38">
        <v>262569</v>
      </c>
      <c r="F38">
        <v>461669</v>
      </c>
      <c r="G38">
        <v>461669</v>
      </c>
    </row>
    <row r="39" spans="2:7">
      <c r="B39" s="8">
        <v>45691</v>
      </c>
      <c r="C39">
        <v>135987</v>
      </c>
      <c r="D39">
        <v>351556</v>
      </c>
      <c r="E39">
        <v>177554</v>
      </c>
      <c r="F39">
        <v>270766</v>
      </c>
      <c r="G39">
        <v>351556</v>
      </c>
    </row>
    <row r="40" spans="2:7">
      <c r="B40" s="8">
        <v>45698</v>
      </c>
      <c r="C40">
        <v>309914</v>
      </c>
      <c r="D40">
        <v>222126</v>
      </c>
      <c r="E40">
        <v>126582</v>
      </c>
      <c r="F40">
        <v>485280</v>
      </c>
      <c r="G40">
        <v>485280</v>
      </c>
    </row>
    <row r="41" spans="2:7">
      <c r="B41" s="8">
        <v>45705</v>
      </c>
      <c r="C41">
        <v>104967</v>
      </c>
      <c r="D41">
        <v>453243</v>
      </c>
      <c r="E41">
        <v>145608</v>
      </c>
      <c r="F41">
        <v>105980</v>
      </c>
      <c r="G41">
        <v>453243</v>
      </c>
    </row>
    <row r="42" spans="2:7">
      <c r="B42" s="8">
        <v>45712</v>
      </c>
      <c r="C42">
        <v>230448</v>
      </c>
      <c r="D42">
        <v>126524</v>
      </c>
      <c r="E42">
        <v>317007</v>
      </c>
      <c r="F42">
        <v>464239</v>
      </c>
      <c r="G42">
        <v>464239</v>
      </c>
    </row>
    <row r="43" spans="2:7">
      <c r="B43" s="8">
        <v>45719</v>
      </c>
      <c r="C43">
        <v>366881</v>
      </c>
      <c r="D43">
        <v>257579</v>
      </c>
      <c r="E43">
        <v>466575</v>
      </c>
      <c r="F43">
        <v>224534</v>
      </c>
      <c r="G43">
        <v>466575</v>
      </c>
    </row>
    <row r="44" spans="2:7">
      <c r="B44" s="8">
        <v>45726</v>
      </c>
      <c r="C44">
        <v>340842</v>
      </c>
      <c r="D44">
        <v>462142</v>
      </c>
      <c r="E44">
        <v>12471</v>
      </c>
      <c r="F44">
        <v>98397</v>
      </c>
      <c r="G44">
        <v>462142</v>
      </c>
    </row>
    <row r="45" spans="2:7">
      <c r="B45" s="8">
        <v>45733</v>
      </c>
      <c r="C45">
        <v>342129</v>
      </c>
      <c r="D45">
        <v>410330</v>
      </c>
      <c r="E45">
        <v>12447</v>
      </c>
      <c r="F45">
        <v>17380</v>
      </c>
      <c r="G45">
        <v>410330</v>
      </c>
    </row>
    <row r="46" spans="2:7">
      <c r="B46" s="8">
        <v>45740</v>
      </c>
      <c r="C46">
        <v>373606</v>
      </c>
      <c r="D46">
        <v>364810</v>
      </c>
      <c r="E46">
        <v>211090</v>
      </c>
      <c r="F46">
        <v>441931</v>
      </c>
      <c r="G46">
        <v>441931</v>
      </c>
    </row>
    <row r="47" spans="2:7">
      <c r="B47" s="8">
        <v>45747</v>
      </c>
      <c r="C47">
        <v>370070</v>
      </c>
      <c r="D47">
        <v>282780</v>
      </c>
      <c r="E47">
        <v>198350</v>
      </c>
      <c r="F47">
        <v>435726</v>
      </c>
      <c r="G47">
        <v>435726</v>
      </c>
    </row>
    <row r="48" spans="2:7">
      <c r="B48" s="8">
        <v>45754</v>
      </c>
      <c r="C48">
        <v>98596</v>
      </c>
      <c r="D48">
        <v>78789</v>
      </c>
      <c r="E48">
        <v>29589</v>
      </c>
      <c r="F48">
        <v>290354</v>
      </c>
      <c r="G48">
        <v>290354</v>
      </c>
    </row>
    <row r="49" spans="1:7">
      <c r="B49" s="8">
        <v>45761</v>
      </c>
      <c r="C49">
        <v>70707</v>
      </c>
      <c r="D49">
        <v>66682</v>
      </c>
      <c r="E49">
        <v>142507</v>
      </c>
      <c r="F49">
        <v>369525</v>
      </c>
      <c r="G49">
        <v>369525</v>
      </c>
    </row>
    <row r="50" spans="1:7">
      <c r="B50" s="8">
        <v>45768</v>
      </c>
      <c r="C50">
        <v>377382</v>
      </c>
      <c r="D50">
        <v>62942</v>
      </c>
      <c r="E50">
        <v>333851</v>
      </c>
      <c r="F50">
        <v>270958</v>
      </c>
      <c r="G50">
        <v>377382</v>
      </c>
    </row>
    <row r="51" spans="1:7">
      <c r="B51" s="8">
        <v>45775</v>
      </c>
      <c r="C51">
        <v>224830</v>
      </c>
      <c r="D51">
        <v>445944</v>
      </c>
      <c r="E51">
        <v>487289</v>
      </c>
      <c r="F51">
        <v>11435</v>
      </c>
      <c r="G51">
        <v>487289</v>
      </c>
    </row>
    <row r="52" spans="1:7">
      <c r="B52" s="8">
        <v>45782</v>
      </c>
      <c r="C52">
        <v>418696</v>
      </c>
      <c r="D52">
        <v>447902</v>
      </c>
      <c r="E52">
        <v>484364</v>
      </c>
      <c r="F52">
        <v>148477</v>
      </c>
      <c r="G52">
        <v>484364</v>
      </c>
    </row>
    <row r="53" spans="1:7">
      <c r="B53" s="8">
        <v>45789</v>
      </c>
      <c r="C53">
        <v>364820</v>
      </c>
      <c r="D53">
        <v>468301</v>
      </c>
      <c r="E53">
        <v>456298</v>
      </c>
      <c r="F53">
        <v>82558</v>
      </c>
      <c r="G53">
        <v>468301</v>
      </c>
    </row>
    <row r="54" spans="1:7">
      <c r="B54" s="8" t="s">
        <v>12</v>
      </c>
      <c r="C54">
        <v>496982</v>
      </c>
      <c r="D54">
        <v>489188</v>
      </c>
      <c r="E54">
        <v>487896</v>
      </c>
      <c r="F54">
        <v>488901</v>
      </c>
      <c r="G54">
        <v>496982</v>
      </c>
    </row>
    <row r="57" spans="1:7">
      <c r="A57" s="29" t="s">
        <v>0</v>
      </c>
      <c r="B57" s="30" t="s">
        <v>1</v>
      </c>
      <c r="C57" s="30" t="s">
        <v>4</v>
      </c>
      <c r="D57" s="30" t="s">
        <v>6</v>
      </c>
      <c r="E57" s="31" t="s">
        <v>33</v>
      </c>
    </row>
    <row r="58" spans="1:7">
      <c r="A58" s="32">
        <v>45446</v>
      </c>
      <c r="B58" s="26" t="s">
        <v>7</v>
      </c>
      <c r="C58" s="26">
        <v>344084</v>
      </c>
      <c r="D58" s="26">
        <v>5904</v>
      </c>
      <c r="E58" s="33"/>
    </row>
    <row r="59" spans="1:7">
      <c r="A59" s="32">
        <v>45446</v>
      </c>
      <c r="B59" s="26" t="s">
        <v>8</v>
      </c>
      <c r="C59" s="26">
        <v>42654</v>
      </c>
      <c r="D59" s="26">
        <v>9566</v>
      </c>
      <c r="E59" s="33"/>
    </row>
    <row r="60" spans="1:7">
      <c r="A60" s="32">
        <v>45446</v>
      </c>
      <c r="B60" s="26" t="s">
        <v>9</v>
      </c>
      <c r="C60" s="26">
        <v>146834</v>
      </c>
      <c r="D60" s="26">
        <v>26752</v>
      </c>
      <c r="E60" s="33"/>
    </row>
    <row r="61" spans="1:7">
      <c r="A61" s="32">
        <v>45446</v>
      </c>
      <c r="B61" s="26" t="s">
        <v>10</v>
      </c>
      <c r="C61" s="26">
        <v>395536</v>
      </c>
      <c r="D61" s="26">
        <v>30671</v>
      </c>
      <c r="E61" s="33"/>
    </row>
    <row r="62" spans="1:7">
      <c r="A62" s="32">
        <v>45453</v>
      </c>
      <c r="B62" s="26" t="s">
        <v>7</v>
      </c>
      <c r="C62" s="26">
        <v>49157</v>
      </c>
      <c r="D62" s="26">
        <v>9920</v>
      </c>
      <c r="E62" s="33">
        <f>+Engagement_Summary3[[#This Row],[Total_Followers]]-C58</f>
        <v>-294927</v>
      </c>
    </row>
    <row r="63" spans="1:7">
      <c r="A63" s="32">
        <v>45453</v>
      </c>
      <c r="B63" s="26" t="s">
        <v>8</v>
      </c>
      <c r="C63" s="26">
        <v>316555</v>
      </c>
      <c r="D63" s="26">
        <v>7924</v>
      </c>
      <c r="E63" s="33">
        <f>+Engagement_Summary3[[#This Row],[Total_Followers]]-C59</f>
        <v>273901</v>
      </c>
    </row>
    <row r="64" spans="1:7">
      <c r="A64" s="32">
        <v>45453</v>
      </c>
      <c r="B64" s="26" t="s">
        <v>9</v>
      </c>
      <c r="C64" s="26">
        <v>254347</v>
      </c>
      <c r="D64" s="26">
        <v>8912</v>
      </c>
      <c r="E64" s="33">
        <f>+Engagement_Summary3[[#This Row],[Total_Followers]]-C60</f>
        <v>107513</v>
      </c>
    </row>
    <row r="65" spans="1:5">
      <c r="A65" s="32">
        <v>45453</v>
      </c>
      <c r="B65" s="26" t="s">
        <v>10</v>
      </c>
      <c r="C65" s="26">
        <v>413878</v>
      </c>
      <c r="D65" s="26">
        <v>21205</v>
      </c>
      <c r="E65" s="33">
        <f>+Engagement_Summary3[[#This Row],[Total_Followers]]-C61</f>
        <v>18342</v>
      </c>
    </row>
    <row r="66" spans="1:5">
      <c r="A66" s="32">
        <v>45460</v>
      </c>
      <c r="B66" s="26" t="s">
        <v>7</v>
      </c>
      <c r="C66" s="26">
        <v>456946</v>
      </c>
      <c r="D66" s="26">
        <v>11329</v>
      </c>
      <c r="E66" s="33">
        <f>+Engagement_Summary3[[#This Row],[Total_Followers]]-C62</f>
        <v>407789</v>
      </c>
    </row>
    <row r="67" spans="1:5">
      <c r="A67" s="32">
        <v>45460</v>
      </c>
      <c r="B67" s="26" t="s">
        <v>8</v>
      </c>
      <c r="C67" s="26">
        <v>169496</v>
      </c>
      <c r="D67" s="26">
        <v>46670</v>
      </c>
      <c r="E67" s="33">
        <f>+Engagement_Summary3[[#This Row],[Total_Followers]]-C63</f>
        <v>-147059</v>
      </c>
    </row>
    <row r="68" spans="1:5">
      <c r="A68" s="32">
        <v>45460</v>
      </c>
      <c r="B68" s="26" t="s">
        <v>9</v>
      </c>
      <c r="C68" s="26">
        <v>122732</v>
      </c>
      <c r="D68" s="26">
        <v>22482</v>
      </c>
      <c r="E68" s="33">
        <f>+Engagement_Summary3[[#This Row],[Total_Followers]]-C64</f>
        <v>-131615</v>
      </c>
    </row>
    <row r="69" spans="1:5">
      <c r="A69" s="32">
        <v>45460</v>
      </c>
      <c r="B69" s="26" t="s">
        <v>10</v>
      </c>
      <c r="C69" s="26">
        <v>382851</v>
      </c>
      <c r="D69" s="26">
        <v>24313</v>
      </c>
      <c r="E69" s="33">
        <f>+Engagement_Summary3[[#This Row],[Total_Followers]]-C65</f>
        <v>-31027</v>
      </c>
    </row>
    <row r="70" spans="1:5">
      <c r="A70" s="32">
        <v>45467</v>
      </c>
      <c r="B70" s="26" t="s">
        <v>7</v>
      </c>
      <c r="C70" s="26">
        <v>35664</v>
      </c>
      <c r="D70" s="26">
        <v>18050</v>
      </c>
      <c r="E70" s="33">
        <f>+Engagement_Summary3[[#This Row],[Total_Followers]]-C66</f>
        <v>-421282</v>
      </c>
    </row>
    <row r="71" spans="1:5">
      <c r="A71" s="32">
        <v>45467</v>
      </c>
      <c r="B71" s="26" t="s">
        <v>8</v>
      </c>
      <c r="C71" s="26">
        <v>26295</v>
      </c>
      <c r="D71" s="26">
        <v>30635</v>
      </c>
      <c r="E71" s="33">
        <f>+Engagement_Summary3[[#This Row],[Total_Followers]]-C67</f>
        <v>-143201</v>
      </c>
    </row>
    <row r="72" spans="1:5">
      <c r="A72" s="32">
        <v>45467</v>
      </c>
      <c r="B72" s="26" t="s">
        <v>9</v>
      </c>
      <c r="C72" s="26">
        <v>298421</v>
      </c>
      <c r="D72" s="26">
        <v>31280</v>
      </c>
      <c r="E72" s="33">
        <f>+Engagement_Summary3[[#This Row],[Total_Followers]]-C68</f>
        <v>175689</v>
      </c>
    </row>
    <row r="73" spans="1:5">
      <c r="A73" s="32">
        <v>45467</v>
      </c>
      <c r="B73" s="26" t="s">
        <v>10</v>
      </c>
      <c r="C73" s="26">
        <v>426184</v>
      </c>
      <c r="D73" s="26">
        <v>1783</v>
      </c>
      <c r="E73" s="33">
        <f>+Engagement_Summary3[[#This Row],[Total_Followers]]-C69</f>
        <v>43333</v>
      </c>
    </row>
    <row r="74" spans="1:5">
      <c r="A74" s="32">
        <v>45474</v>
      </c>
      <c r="B74" s="26" t="s">
        <v>7</v>
      </c>
      <c r="C74" s="26">
        <v>419447</v>
      </c>
      <c r="D74" s="26">
        <v>9566</v>
      </c>
      <c r="E74" s="33">
        <f>+Engagement_Summary3[[#This Row],[Total_Followers]]-C70</f>
        <v>383783</v>
      </c>
    </row>
    <row r="75" spans="1:5">
      <c r="A75" s="32">
        <v>45474</v>
      </c>
      <c r="B75" s="26" t="s">
        <v>8</v>
      </c>
      <c r="C75" s="26">
        <v>220020</v>
      </c>
      <c r="D75" s="26">
        <v>42307</v>
      </c>
      <c r="E75" s="33">
        <f>+Engagement_Summary3[[#This Row],[Total_Followers]]-C71</f>
        <v>193725</v>
      </c>
    </row>
    <row r="76" spans="1:5">
      <c r="A76" s="32">
        <v>45474</v>
      </c>
      <c r="B76" s="26" t="s">
        <v>9</v>
      </c>
      <c r="C76" s="26">
        <v>315305</v>
      </c>
      <c r="D76" s="26">
        <v>5914</v>
      </c>
      <c r="E76" s="33">
        <f>+Engagement_Summary3[[#This Row],[Total_Followers]]-C72</f>
        <v>16884</v>
      </c>
    </row>
    <row r="77" spans="1:5">
      <c r="A77" s="32">
        <v>45474</v>
      </c>
      <c r="B77" s="26" t="s">
        <v>10</v>
      </c>
      <c r="C77" s="26">
        <v>113678</v>
      </c>
      <c r="D77" s="26">
        <v>30060</v>
      </c>
      <c r="E77" s="33">
        <f>+Engagement_Summary3[[#This Row],[Total_Followers]]-C73</f>
        <v>-312506</v>
      </c>
    </row>
    <row r="78" spans="1:5">
      <c r="A78" s="32">
        <v>45481</v>
      </c>
      <c r="B78" s="26" t="s">
        <v>7</v>
      </c>
      <c r="C78" s="26">
        <v>58223</v>
      </c>
      <c r="D78" s="26">
        <v>22728</v>
      </c>
      <c r="E78" s="33">
        <f>+Engagement_Summary3[[#This Row],[Total_Followers]]-C74</f>
        <v>-361224</v>
      </c>
    </row>
    <row r="79" spans="1:5">
      <c r="A79" s="32">
        <v>45481</v>
      </c>
      <c r="B79" s="26" t="s">
        <v>8</v>
      </c>
      <c r="C79" s="26">
        <v>251694</v>
      </c>
      <c r="D79" s="26">
        <v>38610</v>
      </c>
      <c r="E79" s="33">
        <f>+Engagement_Summary3[[#This Row],[Total_Followers]]-C75</f>
        <v>31674</v>
      </c>
    </row>
    <row r="80" spans="1:5">
      <c r="A80" s="32">
        <v>45481</v>
      </c>
      <c r="B80" s="26" t="s">
        <v>9</v>
      </c>
      <c r="C80" s="26">
        <v>389810</v>
      </c>
      <c r="D80" s="26">
        <v>2932</v>
      </c>
      <c r="E80" s="33">
        <f>+Engagement_Summary3[[#This Row],[Total_Followers]]-C76</f>
        <v>74505</v>
      </c>
    </row>
    <row r="81" spans="1:5">
      <c r="A81" s="32">
        <v>45481</v>
      </c>
      <c r="B81" s="26" t="s">
        <v>10</v>
      </c>
      <c r="C81" s="26">
        <v>233694</v>
      </c>
      <c r="D81" s="26">
        <v>15071</v>
      </c>
      <c r="E81" s="33">
        <f>+Engagement_Summary3[[#This Row],[Total_Followers]]-C77</f>
        <v>120016</v>
      </c>
    </row>
    <row r="82" spans="1:5">
      <c r="A82" s="32">
        <v>45488</v>
      </c>
      <c r="B82" s="26" t="s">
        <v>7</v>
      </c>
      <c r="C82" s="26">
        <v>154169</v>
      </c>
      <c r="D82" s="26">
        <v>10740</v>
      </c>
      <c r="E82" s="33">
        <f>+Engagement_Summary3[[#This Row],[Total_Followers]]-C78</f>
        <v>95946</v>
      </c>
    </row>
    <row r="83" spans="1:5">
      <c r="A83" s="32">
        <v>45488</v>
      </c>
      <c r="B83" s="26" t="s">
        <v>8</v>
      </c>
      <c r="C83" s="26">
        <v>334626</v>
      </c>
      <c r="D83" s="26">
        <v>43420</v>
      </c>
      <c r="E83" s="33">
        <f>+Engagement_Summary3[[#This Row],[Total_Followers]]-C79</f>
        <v>82932</v>
      </c>
    </row>
    <row r="84" spans="1:5">
      <c r="A84" s="32">
        <v>45488</v>
      </c>
      <c r="B84" s="26" t="s">
        <v>9</v>
      </c>
      <c r="C84" s="26">
        <v>226002</v>
      </c>
      <c r="D84" s="26">
        <v>32393</v>
      </c>
      <c r="E84" s="33">
        <f>+Engagement_Summary3[[#This Row],[Total_Followers]]-C80</f>
        <v>-163808</v>
      </c>
    </row>
    <row r="85" spans="1:5">
      <c r="A85" s="32">
        <v>45488</v>
      </c>
      <c r="B85" s="26" t="s">
        <v>10</v>
      </c>
      <c r="C85" s="26">
        <v>156683</v>
      </c>
      <c r="D85" s="26">
        <v>28474</v>
      </c>
      <c r="E85" s="33">
        <f>+Engagement_Summary3[[#This Row],[Total_Followers]]-C81</f>
        <v>-77011</v>
      </c>
    </row>
    <row r="86" spans="1:5">
      <c r="A86" s="32">
        <v>45495</v>
      </c>
      <c r="B86" s="26" t="s">
        <v>7</v>
      </c>
      <c r="C86" s="26">
        <v>473812</v>
      </c>
      <c r="D86" s="26">
        <v>17328</v>
      </c>
      <c r="E86" s="33">
        <f>+Engagement_Summary3[[#This Row],[Total_Followers]]-C82</f>
        <v>319643</v>
      </c>
    </row>
    <row r="87" spans="1:5">
      <c r="A87" s="32">
        <v>45495</v>
      </c>
      <c r="B87" s="26" t="s">
        <v>8</v>
      </c>
      <c r="C87" s="26">
        <v>295032</v>
      </c>
      <c r="D87" s="26">
        <v>26067</v>
      </c>
      <c r="E87" s="33">
        <f>+Engagement_Summary3[[#This Row],[Total_Followers]]-C83</f>
        <v>-39594</v>
      </c>
    </row>
    <row r="88" spans="1:5">
      <c r="A88" s="32">
        <v>45495</v>
      </c>
      <c r="B88" s="26" t="s">
        <v>9</v>
      </c>
      <c r="C88" s="26">
        <v>198278</v>
      </c>
      <c r="D88" s="26">
        <v>32763</v>
      </c>
      <c r="E88" s="33">
        <f>+Engagement_Summary3[[#This Row],[Total_Followers]]-C84</f>
        <v>-27724</v>
      </c>
    </row>
    <row r="89" spans="1:5">
      <c r="A89" s="32">
        <v>45495</v>
      </c>
      <c r="B89" s="26" t="s">
        <v>10</v>
      </c>
      <c r="C89" s="26">
        <v>306564</v>
      </c>
      <c r="D89" s="26">
        <v>26452</v>
      </c>
      <c r="E89" s="33">
        <f>+Engagement_Summary3[[#This Row],[Total_Followers]]-C85</f>
        <v>149881</v>
      </c>
    </row>
    <row r="90" spans="1:5">
      <c r="A90" s="32">
        <v>45502</v>
      </c>
      <c r="B90" s="26" t="s">
        <v>7</v>
      </c>
      <c r="C90" s="26">
        <v>23664</v>
      </c>
      <c r="D90" s="26">
        <v>15353</v>
      </c>
      <c r="E90" s="33">
        <f>+Engagement_Summary3[[#This Row],[Total_Followers]]-C86</f>
        <v>-450148</v>
      </c>
    </row>
    <row r="91" spans="1:5">
      <c r="A91" s="32">
        <v>45502</v>
      </c>
      <c r="B91" s="26" t="s">
        <v>8</v>
      </c>
      <c r="C91" s="26">
        <v>435034</v>
      </c>
      <c r="D91" s="26">
        <v>4839</v>
      </c>
      <c r="E91" s="33">
        <f>+Engagement_Summary3[[#This Row],[Total_Followers]]-C87</f>
        <v>140002</v>
      </c>
    </row>
    <row r="92" spans="1:5">
      <c r="A92" s="32">
        <v>45502</v>
      </c>
      <c r="B92" s="26" t="s">
        <v>9</v>
      </c>
      <c r="C92" s="26">
        <v>287574</v>
      </c>
      <c r="D92" s="26">
        <v>39272</v>
      </c>
      <c r="E92" s="33">
        <f>+Engagement_Summary3[[#This Row],[Total_Followers]]-C88</f>
        <v>89296</v>
      </c>
    </row>
    <row r="93" spans="1:5">
      <c r="A93" s="32">
        <v>45502</v>
      </c>
      <c r="B93" s="26" t="s">
        <v>10</v>
      </c>
      <c r="C93" s="26">
        <v>62499</v>
      </c>
      <c r="D93" s="26">
        <v>16804</v>
      </c>
      <c r="E93" s="33">
        <f>+Engagement_Summary3[[#This Row],[Total_Followers]]-C89</f>
        <v>-244065</v>
      </c>
    </row>
    <row r="94" spans="1:5">
      <c r="A94" s="32">
        <v>45509</v>
      </c>
      <c r="B94" s="26" t="s">
        <v>7</v>
      </c>
      <c r="C94" s="26">
        <v>437968</v>
      </c>
      <c r="D94" s="26">
        <v>49303</v>
      </c>
      <c r="E94" s="33">
        <f>+Engagement_Summary3[[#This Row],[Total_Followers]]-C90</f>
        <v>414304</v>
      </c>
    </row>
    <row r="95" spans="1:5">
      <c r="A95" s="32">
        <v>45509</v>
      </c>
      <c r="B95" s="26" t="s">
        <v>8</v>
      </c>
      <c r="C95" s="26">
        <v>125034</v>
      </c>
      <c r="D95" s="26">
        <v>26455</v>
      </c>
      <c r="E95" s="33">
        <f>+Engagement_Summary3[[#This Row],[Total_Followers]]-C91</f>
        <v>-310000</v>
      </c>
    </row>
    <row r="96" spans="1:5">
      <c r="A96" s="32">
        <v>45509</v>
      </c>
      <c r="B96" s="26" t="s">
        <v>9</v>
      </c>
      <c r="C96" s="26">
        <v>449994</v>
      </c>
      <c r="D96" s="26">
        <v>12384</v>
      </c>
      <c r="E96" s="33">
        <f>+Engagement_Summary3[[#This Row],[Total_Followers]]-C92</f>
        <v>162420</v>
      </c>
    </row>
    <row r="97" spans="1:5">
      <c r="A97" s="32">
        <v>45509</v>
      </c>
      <c r="B97" s="26" t="s">
        <v>10</v>
      </c>
      <c r="C97" s="26">
        <v>320650</v>
      </c>
      <c r="D97" s="26">
        <v>49372</v>
      </c>
      <c r="E97" s="33">
        <f>+Engagement_Summary3[[#This Row],[Total_Followers]]-C93</f>
        <v>258151</v>
      </c>
    </row>
    <row r="98" spans="1:5">
      <c r="A98" s="32">
        <v>45516</v>
      </c>
      <c r="B98" s="26" t="s">
        <v>7</v>
      </c>
      <c r="C98" s="26">
        <v>489188</v>
      </c>
      <c r="D98" s="26">
        <v>47101</v>
      </c>
      <c r="E98" s="33">
        <f>+Engagement_Summary3[[#This Row],[Total_Followers]]-C94</f>
        <v>51220</v>
      </c>
    </row>
    <row r="99" spans="1:5">
      <c r="A99" s="32">
        <v>45516</v>
      </c>
      <c r="B99" s="26" t="s">
        <v>8</v>
      </c>
      <c r="C99" s="26">
        <v>307612</v>
      </c>
      <c r="D99" s="26">
        <v>37903</v>
      </c>
      <c r="E99" s="33">
        <f>+Engagement_Summary3[[#This Row],[Total_Followers]]-C95</f>
        <v>182578</v>
      </c>
    </row>
    <row r="100" spans="1:5">
      <c r="A100" s="32">
        <v>45516</v>
      </c>
      <c r="B100" s="26" t="s">
        <v>9</v>
      </c>
      <c r="C100" s="26">
        <v>434883</v>
      </c>
      <c r="D100" s="26">
        <v>33258</v>
      </c>
      <c r="E100" s="33">
        <f>+Engagement_Summary3[[#This Row],[Total_Followers]]-C96</f>
        <v>-15111</v>
      </c>
    </row>
    <row r="101" spans="1:5">
      <c r="A101" s="32">
        <v>45516</v>
      </c>
      <c r="B101" s="26" t="s">
        <v>10</v>
      </c>
      <c r="C101" s="26">
        <v>102042</v>
      </c>
      <c r="D101" s="26">
        <v>6915</v>
      </c>
      <c r="E101" s="33">
        <f>+Engagement_Summary3[[#This Row],[Total_Followers]]-C97</f>
        <v>-218608</v>
      </c>
    </row>
    <row r="102" spans="1:5">
      <c r="A102" s="32">
        <v>45523</v>
      </c>
      <c r="B102" s="26" t="s">
        <v>7</v>
      </c>
      <c r="C102" s="26">
        <v>325444</v>
      </c>
      <c r="D102" s="26">
        <v>35501</v>
      </c>
      <c r="E102" s="33">
        <f>+Engagement_Summary3[[#This Row],[Total_Followers]]-C98</f>
        <v>-163744</v>
      </c>
    </row>
    <row r="103" spans="1:5">
      <c r="A103" s="32">
        <v>45523</v>
      </c>
      <c r="B103" s="26" t="s">
        <v>8</v>
      </c>
      <c r="C103" s="26">
        <v>183924</v>
      </c>
      <c r="D103" s="26">
        <v>14203</v>
      </c>
      <c r="E103" s="33">
        <f>+Engagement_Summary3[[#This Row],[Total_Followers]]-C99</f>
        <v>-123688</v>
      </c>
    </row>
    <row r="104" spans="1:5">
      <c r="A104" s="32">
        <v>45523</v>
      </c>
      <c r="B104" s="26" t="s">
        <v>9</v>
      </c>
      <c r="C104" s="26">
        <v>188655</v>
      </c>
      <c r="D104" s="26">
        <v>22206</v>
      </c>
      <c r="E104" s="33">
        <f>+Engagement_Summary3[[#This Row],[Total_Followers]]-C100</f>
        <v>-246228</v>
      </c>
    </row>
    <row r="105" spans="1:5">
      <c r="A105" s="32">
        <v>45523</v>
      </c>
      <c r="B105" s="26" t="s">
        <v>10</v>
      </c>
      <c r="C105" s="26">
        <v>87443</v>
      </c>
      <c r="D105" s="26">
        <v>10283</v>
      </c>
      <c r="E105" s="33">
        <f>+Engagement_Summary3[[#This Row],[Total_Followers]]-C101</f>
        <v>-14599</v>
      </c>
    </row>
    <row r="106" spans="1:5">
      <c r="A106" s="32">
        <v>45530</v>
      </c>
      <c r="B106" s="26" t="s">
        <v>7</v>
      </c>
      <c r="C106" s="26">
        <v>453799</v>
      </c>
      <c r="D106" s="26">
        <v>24913</v>
      </c>
      <c r="E106" s="33">
        <f>+Engagement_Summary3[[#This Row],[Total_Followers]]-C102</f>
        <v>128355</v>
      </c>
    </row>
    <row r="107" spans="1:5">
      <c r="A107" s="32">
        <v>45530</v>
      </c>
      <c r="B107" s="26" t="s">
        <v>8</v>
      </c>
      <c r="C107" s="26">
        <v>379380</v>
      </c>
      <c r="D107" s="26">
        <v>26925</v>
      </c>
      <c r="E107" s="33">
        <f>+Engagement_Summary3[[#This Row],[Total_Followers]]-C103</f>
        <v>195456</v>
      </c>
    </row>
    <row r="108" spans="1:5">
      <c r="A108" s="32">
        <v>45530</v>
      </c>
      <c r="B108" s="26" t="s">
        <v>9</v>
      </c>
      <c r="C108" s="26">
        <v>186454</v>
      </c>
      <c r="D108" s="26">
        <v>9942</v>
      </c>
      <c r="E108" s="33">
        <f>+Engagement_Summary3[[#This Row],[Total_Followers]]-C104</f>
        <v>-2201</v>
      </c>
    </row>
    <row r="109" spans="1:5">
      <c r="A109" s="32">
        <v>45530</v>
      </c>
      <c r="B109" s="26" t="s">
        <v>10</v>
      </c>
      <c r="C109" s="26">
        <v>239044</v>
      </c>
      <c r="D109" s="26">
        <v>32929</v>
      </c>
      <c r="E109" s="33">
        <f>+Engagement_Summary3[[#This Row],[Total_Followers]]-C105</f>
        <v>151601</v>
      </c>
    </row>
    <row r="110" spans="1:5">
      <c r="A110" s="32">
        <v>45537</v>
      </c>
      <c r="B110" s="26" t="s">
        <v>7</v>
      </c>
      <c r="C110" s="26">
        <v>101332</v>
      </c>
      <c r="D110" s="26">
        <v>37829</v>
      </c>
      <c r="E110" s="33">
        <f>+Engagement_Summary3[[#This Row],[Total_Followers]]-C106</f>
        <v>-352467</v>
      </c>
    </row>
    <row r="111" spans="1:5">
      <c r="A111" s="32">
        <v>45537</v>
      </c>
      <c r="B111" s="26" t="s">
        <v>8</v>
      </c>
      <c r="C111" s="26">
        <v>496982</v>
      </c>
      <c r="D111" s="26">
        <v>24384</v>
      </c>
      <c r="E111" s="33">
        <f>+Engagement_Summary3[[#This Row],[Total_Followers]]-C107</f>
        <v>117602</v>
      </c>
    </row>
    <row r="112" spans="1:5">
      <c r="A112" s="32">
        <v>45537</v>
      </c>
      <c r="B112" s="26" t="s">
        <v>9</v>
      </c>
      <c r="C112" s="26">
        <v>318779</v>
      </c>
      <c r="D112" s="26">
        <v>25797</v>
      </c>
      <c r="E112" s="33">
        <f>+Engagement_Summary3[[#This Row],[Total_Followers]]-C108</f>
        <v>132325</v>
      </c>
    </row>
    <row r="113" spans="1:5">
      <c r="A113" s="32">
        <v>45537</v>
      </c>
      <c r="B113" s="26" t="s">
        <v>10</v>
      </c>
      <c r="C113" s="26">
        <v>370971</v>
      </c>
      <c r="D113" s="26">
        <v>12646</v>
      </c>
      <c r="E113" s="33">
        <f>+Engagement_Summary3[[#This Row],[Total_Followers]]-C109</f>
        <v>131927</v>
      </c>
    </row>
    <row r="114" spans="1:5">
      <c r="A114" s="32">
        <v>45544</v>
      </c>
      <c r="B114" s="26" t="s">
        <v>7</v>
      </c>
      <c r="C114" s="26">
        <v>378054</v>
      </c>
      <c r="D114" s="26">
        <v>26663</v>
      </c>
      <c r="E114" s="33">
        <f>+Engagement_Summary3[[#This Row],[Total_Followers]]-C110</f>
        <v>276722</v>
      </c>
    </row>
    <row r="115" spans="1:5">
      <c r="A115" s="32">
        <v>45544</v>
      </c>
      <c r="B115" s="26" t="s">
        <v>8</v>
      </c>
      <c r="C115" s="26">
        <v>307524</v>
      </c>
      <c r="D115" s="26">
        <v>40478</v>
      </c>
      <c r="E115" s="33">
        <f>+Engagement_Summary3[[#This Row],[Total_Followers]]-C111</f>
        <v>-189458</v>
      </c>
    </row>
    <row r="116" spans="1:5">
      <c r="A116" s="32">
        <v>45544</v>
      </c>
      <c r="B116" s="26" t="s">
        <v>9</v>
      </c>
      <c r="C116" s="26">
        <v>434047</v>
      </c>
      <c r="D116" s="26">
        <v>15476</v>
      </c>
      <c r="E116" s="33">
        <f>+Engagement_Summary3[[#This Row],[Total_Followers]]-C112</f>
        <v>115268</v>
      </c>
    </row>
    <row r="117" spans="1:5">
      <c r="A117" s="32">
        <v>45544</v>
      </c>
      <c r="B117" s="26" t="s">
        <v>10</v>
      </c>
      <c r="C117" s="26">
        <v>64583</v>
      </c>
      <c r="D117" s="26">
        <v>10217</v>
      </c>
      <c r="E117" s="33">
        <f>+Engagement_Summary3[[#This Row],[Total_Followers]]-C113</f>
        <v>-306388</v>
      </c>
    </row>
    <row r="118" spans="1:5">
      <c r="A118" s="32">
        <v>45551</v>
      </c>
      <c r="B118" s="26" t="s">
        <v>7</v>
      </c>
      <c r="C118" s="26">
        <v>50793</v>
      </c>
      <c r="D118" s="26">
        <v>21939</v>
      </c>
      <c r="E118" s="33">
        <f>+Engagement_Summary3[[#This Row],[Total_Followers]]-C114</f>
        <v>-327261</v>
      </c>
    </row>
    <row r="119" spans="1:5">
      <c r="A119" s="32">
        <v>45551</v>
      </c>
      <c r="B119" s="26" t="s">
        <v>8</v>
      </c>
      <c r="C119" s="26">
        <v>474162</v>
      </c>
      <c r="D119" s="26">
        <v>47462</v>
      </c>
      <c r="E119" s="33">
        <f>+Engagement_Summary3[[#This Row],[Total_Followers]]-C115</f>
        <v>166638</v>
      </c>
    </row>
    <row r="120" spans="1:5">
      <c r="A120" s="32">
        <v>45551</v>
      </c>
      <c r="B120" s="26" t="s">
        <v>9</v>
      </c>
      <c r="C120" s="26">
        <v>392355</v>
      </c>
      <c r="D120" s="26">
        <v>30270</v>
      </c>
      <c r="E120" s="33">
        <f>+Engagement_Summary3[[#This Row],[Total_Followers]]-C116</f>
        <v>-41692</v>
      </c>
    </row>
    <row r="121" spans="1:5">
      <c r="A121" s="32">
        <v>45551</v>
      </c>
      <c r="B121" s="26" t="s">
        <v>10</v>
      </c>
      <c r="C121" s="26">
        <v>119934</v>
      </c>
      <c r="D121" s="26">
        <v>5442</v>
      </c>
      <c r="E121" s="33">
        <f>+Engagement_Summary3[[#This Row],[Total_Followers]]-C117</f>
        <v>55351</v>
      </c>
    </row>
    <row r="122" spans="1:5">
      <c r="A122" s="32">
        <v>45558</v>
      </c>
      <c r="B122" s="26" t="s">
        <v>7</v>
      </c>
      <c r="C122" s="26">
        <v>422625</v>
      </c>
      <c r="D122" s="26">
        <v>1083</v>
      </c>
      <c r="E122" s="33">
        <f>+Engagement_Summary3[[#This Row],[Total_Followers]]-C118</f>
        <v>371832</v>
      </c>
    </row>
    <row r="123" spans="1:5">
      <c r="A123" s="32">
        <v>45558</v>
      </c>
      <c r="B123" s="26" t="s">
        <v>8</v>
      </c>
      <c r="C123" s="26">
        <v>239753</v>
      </c>
      <c r="D123" s="26">
        <v>11901</v>
      </c>
      <c r="E123" s="33">
        <f>+Engagement_Summary3[[#This Row],[Total_Followers]]-C119</f>
        <v>-234409</v>
      </c>
    </row>
    <row r="124" spans="1:5">
      <c r="A124" s="32">
        <v>45558</v>
      </c>
      <c r="B124" s="26" t="s">
        <v>9</v>
      </c>
      <c r="C124" s="26">
        <v>268516</v>
      </c>
      <c r="D124" s="26">
        <v>24018</v>
      </c>
      <c r="E124" s="33">
        <f>+Engagement_Summary3[[#This Row],[Total_Followers]]-C120</f>
        <v>-123839</v>
      </c>
    </row>
    <row r="125" spans="1:5">
      <c r="A125" s="32">
        <v>45558</v>
      </c>
      <c r="B125" s="26" t="s">
        <v>10</v>
      </c>
      <c r="C125" s="26">
        <v>63177</v>
      </c>
      <c r="D125" s="26">
        <v>38883</v>
      </c>
      <c r="E125" s="33">
        <f>+Engagement_Summary3[[#This Row],[Total_Followers]]-C121</f>
        <v>-56757</v>
      </c>
    </row>
    <row r="126" spans="1:5">
      <c r="A126" s="32">
        <v>45565</v>
      </c>
      <c r="B126" s="26" t="s">
        <v>7</v>
      </c>
      <c r="C126" s="26">
        <v>370269</v>
      </c>
      <c r="D126" s="26">
        <v>30575</v>
      </c>
      <c r="E126" s="33">
        <f>+Engagement_Summary3[[#This Row],[Total_Followers]]-C122</f>
        <v>-52356</v>
      </c>
    </row>
    <row r="127" spans="1:5">
      <c r="A127" s="32">
        <v>45565</v>
      </c>
      <c r="B127" s="26" t="s">
        <v>8</v>
      </c>
      <c r="C127" s="26">
        <v>453423</v>
      </c>
      <c r="D127" s="26">
        <v>2315</v>
      </c>
      <c r="E127" s="33">
        <f>+Engagement_Summary3[[#This Row],[Total_Followers]]-C123</f>
        <v>213670</v>
      </c>
    </row>
    <row r="128" spans="1:5">
      <c r="A128" s="32">
        <v>45565</v>
      </c>
      <c r="B128" s="26" t="s">
        <v>9</v>
      </c>
      <c r="C128" s="26">
        <v>64906</v>
      </c>
      <c r="D128" s="26">
        <v>12148</v>
      </c>
      <c r="E128" s="33">
        <f>+Engagement_Summary3[[#This Row],[Total_Followers]]-C124</f>
        <v>-203610</v>
      </c>
    </row>
    <row r="129" spans="1:5">
      <c r="A129" s="32">
        <v>45565</v>
      </c>
      <c r="B129" s="26" t="s">
        <v>10</v>
      </c>
      <c r="C129" s="26">
        <v>94360</v>
      </c>
      <c r="D129" s="26">
        <v>36851</v>
      </c>
      <c r="E129" s="33">
        <f>+Engagement_Summary3[[#This Row],[Total_Followers]]-C125</f>
        <v>31183</v>
      </c>
    </row>
    <row r="130" spans="1:5">
      <c r="A130" s="32">
        <v>45572</v>
      </c>
      <c r="B130" s="26" t="s">
        <v>7</v>
      </c>
      <c r="C130" s="26">
        <v>187183</v>
      </c>
      <c r="D130" s="26">
        <v>41215</v>
      </c>
      <c r="E130" s="33">
        <f>+Engagement_Summary3[[#This Row],[Total_Followers]]-C126</f>
        <v>-183086</v>
      </c>
    </row>
    <row r="131" spans="1:5">
      <c r="A131" s="32">
        <v>45572</v>
      </c>
      <c r="B131" s="26" t="s">
        <v>8</v>
      </c>
      <c r="C131" s="26">
        <v>379363</v>
      </c>
      <c r="D131" s="26">
        <v>43836</v>
      </c>
      <c r="E131" s="33">
        <f>+Engagement_Summary3[[#This Row],[Total_Followers]]-C127</f>
        <v>-74060</v>
      </c>
    </row>
    <row r="132" spans="1:5">
      <c r="A132" s="32">
        <v>45572</v>
      </c>
      <c r="B132" s="26" t="s">
        <v>9</v>
      </c>
      <c r="C132" s="26">
        <v>476486</v>
      </c>
      <c r="D132" s="26">
        <v>4509</v>
      </c>
      <c r="E132" s="33">
        <f>+Engagement_Summary3[[#This Row],[Total_Followers]]-C128</f>
        <v>411580</v>
      </c>
    </row>
    <row r="133" spans="1:5">
      <c r="A133" s="32">
        <v>45572</v>
      </c>
      <c r="B133" s="26" t="s">
        <v>10</v>
      </c>
      <c r="C133" s="26">
        <v>117767</v>
      </c>
      <c r="D133" s="26">
        <v>27822</v>
      </c>
      <c r="E133" s="33">
        <f>+Engagement_Summary3[[#This Row],[Total_Followers]]-C129</f>
        <v>23407</v>
      </c>
    </row>
    <row r="134" spans="1:5">
      <c r="A134" s="32">
        <v>45579</v>
      </c>
      <c r="B134" s="26" t="s">
        <v>7</v>
      </c>
      <c r="C134" s="26">
        <v>388555</v>
      </c>
      <c r="D134" s="26">
        <v>36397</v>
      </c>
      <c r="E134" s="33">
        <f>+Engagement_Summary3[[#This Row],[Total_Followers]]-C130</f>
        <v>201372</v>
      </c>
    </row>
    <row r="135" spans="1:5">
      <c r="A135" s="32">
        <v>45579</v>
      </c>
      <c r="B135" s="26" t="s">
        <v>8</v>
      </c>
      <c r="C135" s="26">
        <v>157599</v>
      </c>
      <c r="D135" s="26">
        <v>7285</v>
      </c>
      <c r="E135" s="33">
        <f>+Engagement_Summary3[[#This Row],[Total_Followers]]-C131</f>
        <v>-221764</v>
      </c>
    </row>
    <row r="136" spans="1:5">
      <c r="A136" s="32">
        <v>45579</v>
      </c>
      <c r="B136" s="26" t="s">
        <v>9</v>
      </c>
      <c r="C136" s="26">
        <v>309772</v>
      </c>
      <c r="D136" s="26">
        <v>33174</v>
      </c>
      <c r="E136" s="33">
        <f>+Engagement_Summary3[[#This Row],[Total_Followers]]-C132</f>
        <v>-166714</v>
      </c>
    </row>
    <row r="137" spans="1:5">
      <c r="A137" s="32">
        <v>45579</v>
      </c>
      <c r="B137" s="26" t="s">
        <v>10</v>
      </c>
      <c r="C137" s="26">
        <v>199178</v>
      </c>
      <c r="D137" s="26">
        <v>6742</v>
      </c>
      <c r="E137" s="33">
        <f>+Engagement_Summary3[[#This Row],[Total_Followers]]-C133</f>
        <v>81411</v>
      </c>
    </row>
    <row r="138" spans="1:5">
      <c r="A138" s="32">
        <v>45586</v>
      </c>
      <c r="B138" s="26" t="s">
        <v>7</v>
      </c>
      <c r="C138" s="26">
        <v>357089</v>
      </c>
      <c r="D138" s="26">
        <v>32478</v>
      </c>
      <c r="E138" s="33">
        <f>+Engagement_Summary3[[#This Row],[Total_Followers]]-C134</f>
        <v>-31466</v>
      </c>
    </row>
    <row r="139" spans="1:5">
      <c r="A139" s="32">
        <v>45586</v>
      </c>
      <c r="B139" s="26" t="s">
        <v>8</v>
      </c>
      <c r="C139" s="26">
        <v>23492</v>
      </c>
      <c r="D139" s="26">
        <v>42824</v>
      </c>
      <c r="E139" s="33">
        <f>+Engagement_Summary3[[#This Row],[Total_Followers]]-C135</f>
        <v>-134107</v>
      </c>
    </row>
    <row r="140" spans="1:5">
      <c r="A140" s="32">
        <v>45586</v>
      </c>
      <c r="B140" s="26" t="s">
        <v>9</v>
      </c>
      <c r="C140" s="26">
        <v>258287</v>
      </c>
      <c r="D140" s="26">
        <v>21208</v>
      </c>
      <c r="E140" s="33">
        <f>+Engagement_Summary3[[#This Row],[Total_Followers]]-C136</f>
        <v>-51485</v>
      </c>
    </row>
    <row r="141" spans="1:5">
      <c r="A141" s="32">
        <v>45586</v>
      </c>
      <c r="B141" s="26" t="s">
        <v>10</v>
      </c>
      <c r="C141" s="26">
        <v>256910</v>
      </c>
      <c r="D141" s="26">
        <v>44321</v>
      </c>
      <c r="E141" s="33">
        <f>+Engagement_Summary3[[#This Row],[Total_Followers]]-C137</f>
        <v>57732</v>
      </c>
    </row>
    <row r="142" spans="1:5">
      <c r="A142" s="32">
        <v>45593</v>
      </c>
      <c r="B142" s="26" t="s">
        <v>7</v>
      </c>
      <c r="C142" s="26">
        <v>346522</v>
      </c>
      <c r="D142" s="26">
        <v>13116</v>
      </c>
      <c r="E142" s="33">
        <f>+Engagement_Summary3[[#This Row],[Total_Followers]]-C138</f>
        <v>-10567</v>
      </c>
    </row>
    <row r="143" spans="1:5">
      <c r="A143" s="32">
        <v>45593</v>
      </c>
      <c r="B143" s="26" t="s">
        <v>8</v>
      </c>
      <c r="C143" s="26">
        <v>209987</v>
      </c>
      <c r="D143" s="26">
        <v>30214</v>
      </c>
      <c r="E143" s="33">
        <f>+Engagement_Summary3[[#This Row],[Total_Followers]]-C139</f>
        <v>186495</v>
      </c>
    </row>
    <row r="144" spans="1:5">
      <c r="A144" s="32">
        <v>45593</v>
      </c>
      <c r="B144" s="26" t="s">
        <v>9</v>
      </c>
      <c r="C144" s="26">
        <v>240550</v>
      </c>
      <c r="D144" s="26">
        <v>15827</v>
      </c>
      <c r="E144" s="33">
        <f>+Engagement_Summary3[[#This Row],[Total_Followers]]-C140</f>
        <v>-17737</v>
      </c>
    </row>
    <row r="145" spans="1:5">
      <c r="A145" s="32">
        <v>45593</v>
      </c>
      <c r="B145" s="26" t="s">
        <v>10</v>
      </c>
      <c r="C145" s="26">
        <v>305827</v>
      </c>
      <c r="D145" s="26">
        <v>46643</v>
      </c>
      <c r="E145" s="33">
        <f>+Engagement_Summary3[[#This Row],[Total_Followers]]-C141</f>
        <v>48917</v>
      </c>
    </row>
    <row r="146" spans="1:5">
      <c r="A146" s="32">
        <v>45600</v>
      </c>
      <c r="B146" s="26" t="s">
        <v>7</v>
      </c>
      <c r="C146" s="26">
        <v>54935</v>
      </c>
      <c r="D146" s="26">
        <v>36484</v>
      </c>
      <c r="E146" s="33">
        <f>+Engagement_Summary3[[#This Row],[Total_Followers]]-C142</f>
        <v>-291587</v>
      </c>
    </row>
    <row r="147" spans="1:5">
      <c r="A147" s="32">
        <v>45600</v>
      </c>
      <c r="B147" s="26" t="s">
        <v>8</v>
      </c>
      <c r="C147" s="26">
        <v>319186</v>
      </c>
      <c r="D147" s="26">
        <v>4996</v>
      </c>
      <c r="E147" s="33">
        <f>+Engagement_Summary3[[#This Row],[Total_Followers]]-C143</f>
        <v>109199</v>
      </c>
    </row>
    <row r="148" spans="1:5">
      <c r="A148" s="32">
        <v>45600</v>
      </c>
      <c r="B148" s="26" t="s">
        <v>9</v>
      </c>
      <c r="C148" s="26">
        <v>439080</v>
      </c>
      <c r="D148" s="26">
        <v>36095</v>
      </c>
      <c r="E148" s="33">
        <f>+Engagement_Summary3[[#This Row],[Total_Followers]]-C144</f>
        <v>198530</v>
      </c>
    </row>
    <row r="149" spans="1:5">
      <c r="A149" s="32">
        <v>45600</v>
      </c>
      <c r="B149" s="26" t="s">
        <v>10</v>
      </c>
      <c r="C149" s="26">
        <v>258944</v>
      </c>
      <c r="D149" s="26">
        <v>16443</v>
      </c>
      <c r="E149" s="33">
        <f>+Engagement_Summary3[[#This Row],[Total_Followers]]-C145</f>
        <v>-46883</v>
      </c>
    </row>
    <row r="150" spans="1:5">
      <c r="A150" s="32">
        <v>45607</v>
      </c>
      <c r="B150" s="26" t="s">
        <v>7</v>
      </c>
      <c r="C150" s="26">
        <v>51395</v>
      </c>
      <c r="D150" s="26">
        <v>47812</v>
      </c>
      <c r="E150" s="33">
        <f>+Engagement_Summary3[[#This Row],[Total_Followers]]-C146</f>
        <v>-3540</v>
      </c>
    </row>
    <row r="151" spans="1:5">
      <c r="A151" s="32">
        <v>45607</v>
      </c>
      <c r="B151" s="26" t="s">
        <v>8</v>
      </c>
      <c r="C151" s="26">
        <v>309483</v>
      </c>
      <c r="D151" s="26">
        <v>38452</v>
      </c>
      <c r="E151" s="33">
        <f>+Engagement_Summary3[[#This Row],[Total_Followers]]-C147</f>
        <v>-9703</v>
      </c>
    </row>
    <row r="152" spans="1:5">
      <c r="A152" s="32">
        <v>45607</v>
      </c>
      <c r="B152" s="26" t="s">
        <v>9</v>
      </c>
      <c r="C152" s="26">
        <v>87305</v>
      </c>
      <c r="D152" s="26">
        <v>30428</v>
      </c>
      <c r="E152" s="33">
        <f>+Engagement_Summary3[[#This Row],[Total_Followers]]-C148</f>
        <v>-351775</v>
      </c>
    </row>
    <row r="153" spans="1:5">
      <c r="A153" s="32">
        <v>45607</v>
      </c>
      <c r="B153" s="26" t="s">
        <v>10</v>
      </c>
      <c r="C153" s="26">
        <v>121091</v>
      </c>
      <c r="D153" s="26">
        <v>9269</v>
      </c>
      <c r="E153" s="33">
        <f>+Engagement_Summary3[[#This Row],[Total_Followers]]-C149</f>
        <v>-137853</v>
      </c>
    </row>
    <row r="154" spans="1:5">
      <c r="A154" s="32">
        <v>45614</v>
      </c>
      <c r="B154" s="26" t="s">
        <v>7</v>
      </c>
      <c r="C154" s="26">
        <v>51087</v>
      </c>
      <c r="D154" s="26">
        <v>29533</v>
      </c>
      <c r="E154" s="33">
        <f>+Engagement_Summary3[[#This Row],[Total_Followers]]-C150</f>
        <v>-308</v>
      </c>
    </row>
    <row r="155" spans="1:5">
      <c r="A155" s="32">
        <v>45614</v>
      </c>
      <c r="B155" s="26" t="s">
        <v>8</v>
      </c>
      <c r="C155" s="26">
        <v>338847</v>
      </c>
      <c r="D155" s="26">
        <v>39997</v>
      </c>
      <c r="E155" s="33">
        <f>+Engagement_Summary3[[#This Row],[Total_Followers]]-C151</f>
        <v>29364</v>
      </c>
    </row>
    <row r="156" spans="1:5">
      <c r="A156" s="32">
        <v>45614</v>
      </c>
      <c r="B156" s="26" t="s">
        <v>9</v>
      </c>
      <c r="C156" s="26">
        <v>487523</v>
      </c>
      <c r="D156" s="26">
        <v>5391</v>
      </c>
      <c r="E156" s="33">
        <f>+Engagement_Summary3[[#This Row],[Total_Followers]]-C152</f>
        <v>400218</v>
      </c>
    </row>
    <row r="157" spans="1:5">
      <c r="A157" s="32">
        <v>45614</v>
      </c>
      <c r="B157" s="26" t="s">
        <v>10</v>
      </c>
      <c r="C157" s="26">
        <v>301695</v>
      </c>
      <c r="D157" s="26">
        <v>22373</v>
      </c>
      <c r="E157" s="33">
        <f>+Engagement_Summary3[[#This Row],[Total_Followers]]-C153</f>
        <v>180604</v>
      </c>
    </row>
    <row r="158" spans="1:5">
      <c r="A158" s="32">
        <v>45621</v>
      </c>
      <c r="B158" s="26" t="s">
        <v>7</v>
      </c>
      <c r="C158" s="26">
        <v>282466</v>
      </c>
      <c r="D158" s="26">
        <v>1810</v>
      </c>
      <c r="E158" s="33">
        <f>+Engagement_Summary3[[#This Row],[Total_Followers]]-C154</f>
        <v>231379</v>
      </c>
    </row>
    <row r="159" spans="1:5">
      <c r="A159" s="32">
        <v>45621</v>
      </c>
      <c r="B159" s="26" t="s">
        <v>8</v>
      </c>
      <c r="C159" s="26">
        <v>336661</v>
      </c>
      <c r="D159" s="26">
        <v>28498</v>
      </c>
      <c r="E159" s="33">
        <f>+Engagement_Summary3[[#This Row],[Total_Followers]]-C155</f>
        <v>-2186</v>
      </c>
    </row>
    <row r="160" spans="1:5">
      <c r="A160" s="32">
        <v>45621</v>
      </c>
      <c r="B160" s="26" t="s">
        <v>9</v>
      </c>
      <c r="C160" s="26">
        <v>88455</v>
      </c>
      <c r="D160" s="26">
        <v>39530</v>
      </c>
      <c r="E160" s="33">
        <f>+Engagement_Summary3[[#This Row],[Total_Followers]]-C156</f>
        <v>-399068</v>
      </c>
    </row>
    <row r="161" spans="1:5">
      <c r="A161" s="32">
        <v>45621</v>
      </c>
      <c r="B161" s="26" t="s">
        <v>10</v>
      </c>
      <c r="C161" s="26">
        <v>62535</v>
      </c>
      <c r="D161" s="26">
        <v>37876</v>
      </c>
      <c r="E161" s="33">
        <f>+Engagement_Summary3[[#This Row],[Total_Followers]]-C157</f>
        <v>-239160</v>
      </c>
    </row>
    <row r="162" spans="1:5">
      <c r="A162" s="32">
        <v>45628</v>
      </c>
      <c r="B162" s="26" t="s">
        <v>7</v>
      </c>
      <c r="C162" s="26">
        <v>421957</v>
      </c>
      <c r="D162" s="26">
        <v>36103</v>
      </c>
      <c r="E162" s="33">
        <f>+Engagement_Summary3[[#This Row],[Total_Followers]]-C158</f>
        <v>139491</v>
      </c>
    </row>
    <row r="163" spans="1:5">
      <c r="A163" s="32">
        <v>45628</v>
      </c>
      <c r="B163" s="26" t="s">
        <v>8</v>
      </c>
      <c r="C163" s="26">
        <v>470269</v>
      </c>
      <c r="D163" s="26">
        <v>26103</v>
      </c>
      <c r="E163" s="33">
        <f>+Engagement_Summary3[[#This Row],[Total_Followers]]-C159</f>
        <v>133608</v>
      </c>
    </row>
    <row r="164" spans="1:5">
      <c r="A164" s="32">
        <v>45628</v>
      </c>
      <c r="B164" s="26" t="s">
        <v>9</v>
      </c>
      <c r="C164" s="26">
        <v>309904</v>
      </c>
      <c r="D164" s="26">
        <v>3455</v>
      </c>
      <c r="E164" s="33">
        <f>+Engagement_Summary3[[#This Row],[Total_Followers]]-C160</f>
        <v>221449</v>
      </c>
    </row>
    <row r="165" spans="1:5">
      <c r="A165" s="32">
        <v>45628</v>
      </c>
      <c r="B165" s="26" t="s">
        <v>10</v>
      </c>
      <c r="C165" s="26">
        <v>221274</v>
      </c>
      <c r="D165" s="26">
        <v>40888</v>
      </c>
      <c r="E165" s="33">
        <f>+Engagement_Summary3[[#This Row],[Total_Followers]]-C161</f>
        <v>158739</v>
      </c>
    </row>
    <row r="166" spans="1:5">
      <c r="A166" s="32">
        <v>45635</v>
      </c>
      <c r="B166" s="26" t="s">
        <v>7</v>
      </c>
      <c r="C166" s="26">
        <v>220616</v>
      </c>
      <c r="D166" s="26">
        <v>22724</v>
      </c>
      <c r="E166" s="33">
        <f>+Engagement_Summary3[[#This Row],[Total_Followers]]-C162</f>
        <v>-201341</v>
      </c>
    </row>
    <row r="167" spans="1:5">
      <c r="A167" s="32">
        <v>45635</v>
      </c>
      <c r="B167" s="26" t="s">
        <v>8</v>
      </c>
      <c r="C167" s="26">
        <v>35842</v>
      </c>
      <c r="D167" s="26">
        <v>18601</v>
      </c>
      <c r="E167" s="33">
        <f>+Engagement_Summary3[[#This Row],[Total_Followers]]-C163</f>
        <v>-434427</v>
      </c>
    </row>
    <row r="168" spans="1:5">
      <c r="A168" s="32">
        <v>45635</v>
      </c>
      <c r="B168" s="26" t="s">
        <v>9</v>
      </c>
      <c r="C168" s="26">
        <v>20607</v>
      </c>
      <c r="D168" s="26">
        <v>20861</v>
      </c>
      <c r="E168" s="33">
        <f>+Engagement_Summary3[[#This Row],[Total_Followers]]-C164</f>
        <v>-289297</v>
      </c>
    </row>
    <row r="169" spans="1:5">
      <c r="A169" s="32">
        <v>45635</v>
      </c>
      <c r="B169" s="26" t="s">
        <v>10</v>
      </c>
      <c r="C169" s="26">
        <v>451894</v>
      </c>
      <c r="D169" s="26">
        <v>46625</v>
      </c>
      <c r="E169" s="33">
        <f>+Engagement_Summary3[[#This Row],[Total_Followers]]-C165</f>
        <v>230620</v>
      </c>
    </row>
    <row r="170" spans="1:5">
      <c r="A170" s="32">
        <v>45642</v>
      </c>
      <c r="B170" s="26" t="s">
        <v>7</v>
      </c>
      <c r="C170" s="26">
        <v>465553</v>
      </c>
      <c r="D170" s="26">
        <v>20692</v>
      </c>
      <c r="E170" s="33">
        <f>+Engagement_Summary3[[#This Row],[Total_Followers]]-C166</f>
        <v>244937</v>
      </c>
    </row>
    <row r="171" spans="1:5">
      <c r="A171" s="32">
        <v>45642</v>
      </c>
      <c r="B171" s="26" t="s">
        <v>8</v>
      </c>
      <c r="C171" s="26">
        <v>415815</v>
      </c>
      <c r="D171" s="26">
        <v>18656</v>
      </c>
      <c r="E171" s="33">
        <f>+Engagement_Summary3[[#This Row],[Total_Followers]]-C167</f>
        <v>379973</v>
      </c>
    </row>
    <row r="172" spans="1:5">
      <c r="A172" s="32">
        <v>45642</v>
      </c>
      <c r="B172" s="26" t="s">
        <v>9</v>
      </c>
      <c r="C172" s="26">
        <v>327183</v>
      </c>
      <c r="D172" s="26">
        <v>13316</v>
      </c>
      <c r="E172" s="33">
        <f>+Engagement_Summary3[[#This Row],[Total_Followers]]-C168</f>
        <v>306576</v>
      </c>
    </row>
    <row r="173" spans="1:5">
      <c r="A173" s="32">
        <v>45642</v>
      </c>
      <c r="B173" s="26" t="s">
        <v>10</v>
      </c>
      <c r="C173" s="26">
        <v>488901</v>
      </c>
      <c r="D173" s="26">
        <v>49558</v>
      </c>
      <c r="E173" s="33">
        <f>+Engagement_Summary3[[#This Row],[Total_Followers]]-C169</f>
        <v>37007</v>
      </c>
    </row>
    <row r="174" spans="1:5">
      <c r="A174" s="32">
        <v>45649</v>
      </c>
      <c r="B174" s="26" t="s">
        <v>7</v>
      </c>
      <c r="C174" s="26">
        <v>280795</v>
      </c>
      <c r="D174" s="26">
        <v>4683</v>
      </c>
      <c r="E174" s="33">
        <f>+Engagement_Summary3[[#This Row],[Total_Followers]]-C170</f>
        <v>-184758</v>
      </c>
    </row>
    <row r="175" spans="1:5">
      <c r="A175" s="32">
        <v>45649</v>
      </c>
      <c r="B175" s="26" t="s">
        <v>8</v>
      </c>
      <c r="C175" s="26">
        <v>93347</v>
      </c>
      <c r="D175" s="26">
        <v>47502</v>
      </c>
      <c r="E175" s="33">
        <f>+Engagement_Summary3[[#This Row],[Total_Followers]]-C171</f>
        <v>-322468</v>
      </c>
    </row>
    <row r="176" spans="1:5">
      <c r="A176" s="32">
        <v>45649</v>
      </c>
      <c r="B176" s="26" t="s">
        <v>9</v>
      </c>
      <c r="C176" s="26">
        <v>81119</v>
      </c>
      <c r="D176" s="26">
        <v>35359</v>
      </c>
      <c r="E176" s="33">
        <f>+Engagement_Summary3[[#This Row],[Total_Followers]]-C172</f>
        <v>-246064</v>
      </c>
    </row>
    <row r="177" spans="1:5">
      <c r="A177" s="32">
        <v>45649</v>
      </c>
      <c r="B177" s="26" t="s">
        <v>10</v>
      </c>
      <c r="C177" s="26">
        <v>25177</v>
      </c>
      <c r="D177" s="26">
        <v>14154</v>
      </c>
      <c r="E177" s="33">
        <f>+Engagement_Summary3[[#This Row],[Total_Followers]]-C173</f>
        <v>-463724</v>
      </c>
    </row>
    <row r="178" spans="1:5">
      <c r="A178" s="32">
        <v>45656</v>
      </c>
      <c r="B178" s="26" t="s">
        <v>7</v>
      </c>
      <c r="C178" s="26">
        <v>140804</v>
      </c>
      <c r="D178" s="26">
        <v>4313</v>
      </c>
      <c r="E178" s="33">
        <f>+Engagement_Summary3[[#This Row],[Total_Followers]]-C174</f>
        <v>-139991</v>
      </c>
    </row>
    <row r="179" spans="1:5">
      <c r="A179" s="32">
        <v>45656</v>
      </c>
      <c r="B179" s="26" t="s">
        <v>8</v>
      </c>
      <c r="C179" s="26">
        <v>379431</v>
      </c>
      <c r="D179" s="26">
        <v>25140</v>
      </c>
      <c r="E179" s="33">
        <f>+Engagement_Summary3[[#This Row],[Total_Followers]]-C175</f>
        <v>286084</v>
      </c>
    </row>
    <row r="180" spans="1:5">
      <c r="A180" s="32">
        <v>45656</v>
      </c>
      <c r="B180" s="26" t="s">
        <v>9</v>
      </c>
      <c r="C180" s="26">
        <v>274831</v>
      </c>
      <c r="D180" s="26">
        <v>9118</v>
      </c>
      <c r="E180" s="33">
        <f>+Engagement_Summary3[[#This Row],[Total_Followers]]-C176</f>
        <v>193712</v>
      </c>
    </row>
    <row r="181" spans="1:5">
      <c r="A181" s="32">
        <v>45656</v>
      </c>
      <c r="B181" s="26" t="s">
        <v>10</v>
      </c>
      <c r="C181" s="26">
        <v>136845</v>
      </c>
      <c r="D181" s="26">
        <v>39931</v>
      </c>
      <c r="E181" s="33">
        <f>+Engagement_Summary3[[#This Row],[Total_Followers]]-C177</f>
        <v>111668</v>
      </c>
    </row>
    <row r="182" spans="1:5">
      <c r="A182" s="32">
        <v>45663</v>
      </c>
      <c r="B182" s="26" t="s">
        <v>7</v>
      </c>
      <c r="C182" s="26">
        <v>466382</v>
      </c>
      <c r="D182" s="26">
        <v>37132</v>
      </c>
      <c r="E182" s="33">
        <f>+Engagement_Summary3[[#This Row],[Total_Followers]]-C178</f>
        <v>325578</v>
      </c>
    </row>
    <row r="183" spans="1:5">
      <c r="A183" s="32">
        <v>45663</v>
      </c>
      <c r="B183" s="26" t="s">
        <v>8</v>
      </c>
      <c r="C183" s="26">
        <v>95728</v>
      </c>
      <c r="D183" s="26">
        <v>17951</v>
      </c>
      <c r="E183" s="33">
        <f>+Engagement_Summary3[[#This Row],[Total_Followers]]-C179</f>
        <v>-283703</v>
      </c>
    </row>
    <row r="184" spans="1:5">
      <c r="A184" s="32">
        <v>45663</v>
      </c>
      <c r="B184" s="26" t="s">
        <v>9</v>
      </c>
      <c r="C184" s="26">
        <v>371156</v>
      </c>
      <c r="D184" s="26">
        <v>2798</v>
      </c>
      <c r="E184" s="33">
        <f>+Engagement_Summary3[[#This Row],[Total_Followers]]-C180</f>
        <v>96325</v>
      </c>
    </row>
    <row r="185" spans="1:5">
      <c r="A185" s="32">
        <v>45663</v>
      </c>
      <c r="B185" s="26" t="s">
        <v>10</v>
      </c>
      <c r="C185" s="26">
        <v>95410</v>
      </c>
      <c r="D185" s="26">
        <v>15045</v>
      </c>
      <c r="E185" s="33">
        <f>+Engagement_Summary3[[#This Row],[Total_Followers]]-C181</f>
        <v>-41435</v>
      </c>
    </row>
    <row r="186" spans="1:5">
      <c r="A186" s="32">
        <v>45670</v>
      </c>
      <c r="B186" s="26" t="s">
        <v>7</v>
      </c>
      <c r="C186" s="26">
        <v>349413</v>
      </c>
      <c r="D186" s="26">
        <v>14548</v>
      </c>
      <c r="E186" s="33">
        <f>+Engagement_Summary3[[#This Row],[Total_Followers]]-C182</f>
        <v>-116969</v>
      </c>
    </row>
    <row r="187" spans="1:5">
      <c r="A187" s="32">
        <v>45670</v>
      </c>
      <c r="B187" s="26" t="s">
        <v>8</v>
      </c>
      <c r="C187" s="26">
        <v>224699</v>
      </c>
      <c r="D187" s="26">
        <v>45708</v>
      </c>
      <c r="E187" s="33">
        <f>+Engagement_Summary3[[#This Row],[Total_Followers]]-C183</f>
        <v>128971</v>
      </c>
    </row>
    <row r="188" spans="1:5">
      <c r="A188" s="32">
        <v>45670</v>
      </c>
      <c r="B188" s="26" t="s">
        <v>9</v>
      </c>
      <c r="C188" s="26">
        <v>487896</v>
      </c>
      <c r="D188" s="26">
        <v>12350</v>
      </c>
      <c r="E188" s="33">
        <f>+Engagement_Summary3[[#This Row],[Total_Followers]]-C184</f>
        <v>116740</v>
      </c>
    </row>
    <row r="189" spans="1:5">
      <c r="A189" s="32">
        <v>45670</v>
      </c>
      <c r="B189" s="26" t="s">
        <v>10</v>
      </c>
      <c r="C189" s="26">
        <v>14437</v>
      </c>
      <c r="D189" s="26">
        <v>40868</v>
      </c>
      <c r="E189" s="33">
        <f>+Engagement_Summary3[[#This Row],[Total_Followers]]-C185</f>
        <v>-80973</v>
      </c>
    </row>
    <row r="190" spans="1:5">
      <c r="A190" s="32">
        <v>45677</v>
      </c>
      <c r="B190" s="26" t="s">
        <v>7</v>
      </c>
      <c r="C190" s="26">
        <v>383681</v>
      </c>
      <c r="D190" s="26">
        <v>43122</v>
      </c>
      <c r="E190" s="33">
        <f>+Engagement_Summary3[[#This Row],[Total_Followers]]-C186</f>
        <v>34268</v>
      </c>
    </row>
    <row r="191" spans="1:5">
      <c r="A191" s="32">
        <v>45677</v>
      </c>
      <c r="B191" s="26" t="s">
        <v>8</v>
      </c>
      <c r="C191" s="26">
        <v>479490</v>
      </c>
      <c r="D191" s="26">
        <v>23853</v>
      </c>
      <c r="E191" s="33">
        <f>+Engagement_Summary3[[#This Row],[Total_Followers]]-C187</f>
        <v>254791</v>
      </c>
    </row>
    <row r="192" spans="1:5">
      <c r="A192" s="32">
        <v>45677</v>
      </c>
      <c r="B192" s="26" t="s">
        <v>9</v>
      </c>
      <c r="C192" s="26">
        <v>124404</v>
      </c>
      <c r="D192" s="26">
        <v>45380</v>
      </c>
      <c r="E192" s="33">
        <f>+Engagement_Summary3[[#This Row],[Total_Followers]]-C188</f>
        <v>-363492</v>
      </c>
    </row>
    <row r="193" spans="1:5">
      <c r="A193" s="32">
        <v>45677</v>
      </c>
      <c r="B193" s="26" t="s">
        <v>10</v>
      </c>
      <c r="C193" s="26">
        <v>336949</v>
      </c>
      <c r="D193" s="26">
        <v>7705</v>
      </c>
      <c r="E193" s="33">
        <f>+Engagement_Summary3[[#This Row],[Total_Followers]]-C189</f>
        <v>322512</v>
      </c>
    </row>
    <row r="194" spans="1:5">
      <c r="A194" s="32">
        <v>45684</v>
      </c>
      <c r="B194" s="26" t="s">
        <v>7</v>
      </c>
      <c r="C194" s="26">
        <v>357265</v>
      </c>
      <c r="D194" s="26">
        <v>25525</v>
      </c>
      <c r="E194" s="33">
        <f>+Engagement_Summary3[[#This Row],[Total_Followers]]-C190</f>
        <v>-26416</v>
      </c>
    </row>
    <row r="195" spans="1:5">
      <c r="A195" s="32">
        <v>45684</v>
      </c>
      <c r="B195" s="26" t="s">
        <v>8</v>
      </c>
      <c r="C195" s="26">
        <v>321307</v>
      </c>
      <c r="D195" s="26">
        <v>20560</v>
      </c>
      <c r="E195" s="33">
        <f>+Engagement_Summary3[[#This Row],[Total_Followers]]-C191</f>
        <v>-158183</v>
      </c>
    </row>
    <row r="196" spans="1:5">
      <c r="A196" s="32">
        <v>45684</v>
      </c>
      <c r="B196" s="26" t="s">
        <v>9</v>
      </c>
      <c r="C196" s="26">
        <v>262569</v>
      </c>
      <c r="D196" s="26">
        <v>19119</v>
      </c>
      <c r="E196" s="33">
        <f>+Engagement_Summary3[[#This Row],[Total_Followers]]-C192</f>
        <v>138165</v>
      </c>
    </row>
    <row r="197" spans="1:5">
      <c r="A197" s="32">
        <v>45684</v>
      </c>
      <c r="B197" s="26" t="s">
        <v>10</v>
      </c>
      <c r="C197" s="26">
        <v>461669</v>
      </c>
      <c r="D197" s="26">
        <v>43999</v>
      </c>
      <c r="E197" s="33">
        <f>+Engagement_Summary3[[#This Row],[Total_Followers]]-C193</f>
        <v>124720</v>
      </c>
    </row>
    <row r="198" spans="1:5">
      <c r="A198" s="32">
        <v>45691</v>
      </c>
      <c r="B198" s="26" t="s">
        <v>7</v>
      </c>
      <c r="C198" s="26">
        <v>351556</v>
      </c>
      <c r="D198" s="26">
        <v>10825</v>
      </c>
      <c r="E198" s="33">
        <f>+Engagement_Summary3[[#This Row],[Total_Followers]]-C194</f>
        <v>-5709</v>
      </c>
    </row>
    <row r="199" spans="1:5">
      <c r="A199" s="32">
        <v>45691</v>
      </c>
      <c r="B199" s="26" t="s">
        <v>8</v>
      </c>
      <c r="C199" s="26">
        <v>135987</v>
      </c>
      <c r="D199" s="26">
        <v>40323</v>
      </c>
      <c r="E199" s="33">
        <f>+Engagement_Summary3[[#This Row],[Total_Followers]]-C195</f>
        <v>-185320</v>
      </c>
    </row>
    <row r="200" spans="1:5">
      <c r="A200" s="32">
        <v>45691</v>
      </c>
      <c r="B200" s="26" t="s">
        <v>9</v>
      </c>
      <c r="C200" s="26">
        <v>177554</v>
      </c>
      <c r="D200" s="26">
        <v>48270</v>
      </c>
      <c r="E200" s="33">
        <f>+Engagement_Summary3[[#This Row],[Total_Followers]]-C196</f>
        <v>-85015</v>
      </c>
    </row>
    <row r="201" spans="1:5">
      <c r="A201" s="32">
        <v>45691</v>
      </c>
      <c r="B201" s="26" t="s">
        <v>10</v>
      </c>
      <c r="C201" s="26">
        <v>270766</v>
      </c>
      <c r="D201" s="26">
        <v>18001</v>
      </c>
      <c r="E201" s="33">
        <f>+Engagement_Summary3[[#This Row],[Total_Followers]]-C197</f>
        <v>-190903</v>
      </c>
    </row>
    <row r="202" spans="1:5">
      <c r="A202" s="32">
        <v>45698</v>
      </c>
      <c r="B202" s="26" t="s">
        <v>7</v>
      </c>
      <c r="C202" s="26">
        <v>222126</v>
      </c>
      <c r="D202" s="26">
        <v>3314</v>
      </c>
      <c r="E202" s="33">
        <f>+Engagement_Summary3[[#This Row],[Total_Followers]]-C198</f>
        <v>-129430</v>
      </c>
    </row>
    <row r="203" spans="1:5">
      <c r="A203" s="32">
        <v>45698</v>
      </c>
      <c r="B203" s="26" t="s">
        <v>8</v>
      </c>
      <c r="C203" s="26">
        <v>309914</v>
      </c>
      <c r="D203" s="26">
        <v>23489</v>
      </c>
      <c r="E203" s="33">
        <f>+Engagement_Summary3[[#This Row],[Total_Followers]]-C199</f>
        <v>173927</v>
      </c>
    </row>
    <row r="204" spans="1:5">
      <c r="A204" s="32">
        <v>45698</v>
      </c>
      <c r="B204" s="26" t="s">
        <v>9</v>
      </c>
      <c r="C204" s="26">
        <v>126582</v>
      </c>
      <c r="D204" s="26">
        <v>42832</v>
      </c>
      <c r="E204" s="33">
        <f>+Engagement_Summary3[[#This Row],[Total_Followers]]-C200</f>
        <v>-50972</v>
      </c>
    </row>
    <row r="205" spans="1:5">
      <c r="A205" s="32">
        <v>45698</v>
      </c>
      <c r="B205" s="26" t="s">
        <v>10</v>
      </c>
      <c r="C205" s="26">
        <v>485280</v>
      </c>
      <c r="D205" s="26">
        <v>24494</v>
      </c>
      <c r="E205" s="33">
        <f>+Engagement_Summary3[[#This Row],[Total_Followers]]-C201</f>
        <v>214514</v>
      </c>
    </row>
    <row r="206" spans="1:5">
      <c r="A206" s="32">
        <v>45705</v>
      </c>
      <c r="B206" s="26" t="s">
        <v>7</v>
      </c>
      <c r="C206" s="26">
        <v>453243</v>
      </c>
      <c r="D206" s="26">
        <v>44097</v>
      </c>
      <c r="E206" s="33">
        <f>+Engagement_Summary3[[#This Row],[Total_Followers]]-C202</f>
        <v>231117</v>
      </c>
    </row>
    <row r="207" spans="1:5">
      <c r="A207" s="32">
        <v>45705</v>
      </c>
      <c r="B207" s="26" t="s">
        <v>8</v>
      </c>
      <c r="C207" s="26">
        <v>104967</v>
      </c>
      <c r="D207" s="26">
        <v>31853</v>
      </c>
      <c r="E207" s="33">
        <f>+Engagement_Summary3[[#This Row],[Total_Followers]]-C203</f>
        <v>-204947</v>
      </c>
    </row>
    <row r="208" spans="1:5">
      <c r="A208" s="32">
        <v>45705</v>
      </c>
      <c r="B208" s="26" t="s">
        <v>9</v>
      </c>
      <c r="C208" s="26">
        <v>145608</v>
      </c>
      <c r="D208" s="26">
        <v>37636</v>
      </c>
      <c r="E208" s="33">
        <f>+Engagement_Summary3[[#This Row],[Total_Followers]]-C204</f>
        <v>19026</v>
      </c>
    </row>
    <row r="209" spans="1:5">
      <c r="A209" s="32">
        <v>45705</v>
      </c>
      <c r="B209" s="26" t="s">
        <v>10</v>
      </c>
      <c r="C209" s="26">
        <v>105980</v>
      </c>
      <c r="D209" s="26">
        <v>22996</v>
      </c>
      <c r="E209" s="33">
        <f>+Engagement_Summary3[[#This Row],[Total_Followers]]-C205</f>
        <v>-379300</v>
      </c>
    </row>
    <row r="210" spans="1:5">
      <c r="A210" s="32">
        <v>45712</v>
      </c>
      <c r="B210" s="26" t="s">
        <v>7</v>
      </c>
      <c r="C210" s="26">
        <v>126524</v>
      </c>
      <c r="D210" s="26">
        <v>49772</v>
      </c>
      <c r="E210" s="33">
        <f>+Engagement_Summary3[[#This Row],[Total_Followers]]-C206</f>
        <v>-326719</v>
      </c>
    </row>
    <row r="211" spans="1:5">
      <c r="A211" s="32">
        <v>45712</v>
      </c>
      <c r="B211" s="26" t="s">
        <v>8</v>
      </c>
      <c r="C211" s="26">
        <v>230448</v>
      </c>
      <c r="D211" s="26">
        <v>22713</v>
      </c>
      <c r="E211" s="33">
        <f>+Engagement_Summary3[[#This Row],[Total_Followers]]-C207</f>
        <v>125481</v>
      </c>
    </row>
    <row r="212" spans="1:5">
      <c r="A212" s="32">
        <v>45712</v>
      </c>
      <c r="B212" s="26" t="s">
        <v>9</v>
      </c>
      <c r="C212" s="26">
        <v>317007</v>
      </c>
      <c r="D212" s="26">
        <v>8718</v>
      </c>
      <c r="E212" s="33">
        <f>+Engagement_Summary3[[#This Row],[Total_Followers]]-C208</f>
        <v>171399</v>
      </c>
    </row>
    <row r="213" spans="1:5">
      <c r="A213" s="32">
        <v>45712</v>
      </c>
      <c r="B213" s="26" t="s">
        <v>10</v>
      </c>
      <c r="C213" s="26">
        <v>464239</v>
      </c>
      <c r="D213" s="26">
        <v>39031</v>
      </c>
      <c r="E213" s="33">
        <f>+Engagement_Summary3[[#This Row],[Total_Followers]]-C209</f>
        <v>358259</v>
      </c>
    </row>
    <row r="214" spans="1:5">
      <c r="A214" s="32">
        <v>45719</v>
      </c>
      <c r="B214" s="26" t="s">
        <v>7</v>
      </c>
      <c r="C214" s="26">
        <v>257579</v>
      </c>
      <c r="D214" s="26">
        <v>33799</v>
      </c>
      <c r="E214" s="33">
        <f>+Engagement_Summary3[[#This Row],[Total_Followers]]-C210</f>
        <v>131055</v>
      </c>
    </row>
    <row r="215" spans="1:5">
      <c r="A215" s="32">
        <v>45719</v>
      </c>
      <c r="B215" s="26" t="s">
        <v>8</v>
      </c>
      <c r="C215" s="26">
        <v>366881</v>
      </c>
      <c r="D215" s="26">
        <v>20553</v>
      </c>
      <c r="E215" s="33">
        <f>+Engagement_Summary3[[#This Row],[Total_Followers]]-C211</f>
        <v>136433</v>
      </c>
    </row>
    <row r="216" spans="1:5">
      <c r="A216" s="32">
        <v>45719</v>
      </c>
      <c r="B216" s="26" t="s">
        <v>9</v>
      </c>
      <c r="C216" s="26">
        <v>466575</v>
      </c>
      <c r="D216" s="26">
        <v>10002</v>
      </c>
      <c r="E216" s="33">
        <f>+Engagement_Summary3[[#This Row],[Total_Followers]]-C212</f>
        <v>149568</v>
      </c>
    </row>
    <row r="217" spans="1:5">
      <c r="A217" s="32">
        <v>45719</v>
      </c>
      <c r="B217" s="26" t="s">
        <v>10</v>
      </c>
      <c r="C217" s="26">
        <v>224534</v>
      </c>
      <c r="D217" s="26">
        <v>30987</v>
      </c>
      <c r="E217" s="33">
        <f>+Engagement_Summary3[[#This Row],[Total_Followers]]-C213</f>
        <v>-239705</v>
      </c>
    </row>
    <row r="218" spans="1:5">
      <c r="A218" s="32">
        <v>45726</v>
      </c>
      <c r="B218" s="26" t="s">
        <v>7</v>
      </c>
      <c r="C218" s="26">
        <v>462142</v>
      </c>
      <c r="D218" s="26">
        <v>6296</v>
      </c>
      <c r="E218" s="33">
        <f>+Engagement_Summary3[[#This Row],[Total_Followers]]-C214</f>
        <v>204563</v>
      </c>
    </row>
    <row r="219" spans="1:5">
      <c r="A219" s="32">
        <v>45726</v>
      </c>
      <c r="B219" s="26" t="s">
        <v>8</v>
      </c>
      <c r="C219" s="26">
        <v>340842</v>
      </c>
      <c r="D219" s="26">
        <v>21539</v>
      </c>
      <c r="E219" s="33">
        <f>+Engagement_Summary3[[#This Row],[Total_Followers]]-C215</f>
        <v>-26039</v>
      </c>
    </row>
    <row r="220" spans="1:5">
      <c r="A220" s="32">
        <v>45726</v>
      </c>
      <c r="B220" s="26" t="s">
        <v>9</v>
      </c>
      <c r="C220" s="26">
        <v>12471</v>
      </c>
      <c r="D220" s="26">
        <v>14722</v>
      </c>
      <c r="E220" s="33">
        <f>+Engagement_Summary3[[#This Row],[Total_Followers]]-C216</f>
        <v>-454104</v>
      </c>
    </row>
    <row r="221" spans="1:5">
      <c r="A221" s="32">
        <v>45726</v>
      </c>
      <c r="B221" s="26" t="s">
        <v>10</v>
      </c>
      <c r="C221" s="26">
        <v>98397</v>
      </c>
      <c r="D221" s="26">
        <v>11383</v>
      </c>
      <c r="E221" s="33">
        <f>+Engagement_Summary3[[#This Row],[Total_Followers]]-C217</f>
        <v>-126137</v>
      </c>
    </row>
    <row r="222" spans="1:5">
      <c r="A222" s="32">
        <v>45733</v>
      </c>
      <c r="B222" s="26" t="s">
        <v>7</v>
      </c>
      <c r="C222" s="26">
        <v>410330</v>
      </c>
      <c r="D222" s="26">
        <v>9480</v>
      </c>
      <c r="E222" s="33">
        <f>+Engagement_Summary3[[#This Row],[Total_Followers]]-C218</f>
        <v>-51812</v>
      </c>
    </row>
    <row r="223" spans="1:5">
      <c r="A223" s="32">
        <v>45733</v>
      </c>
      <c r="B223" s="26" t="s">
        <v>8</v>
      </c>
      <c r="C223" s="26">
        <v>342129</v>
      </c>
      <c r="D223" s="26">
        <v>29116</v>
      </c>
      <c r="E223" s="33">
        <f>+Engagement_Summary3[[#This Row],[Total_Followers]]-C219</f>
        <v>1287</v>
      </c>
    </row>
    <row r="224" spans="1:5">
      <c r="A224" s="32">
        <v>45733</v>
      </c>
      <c r="B224" s="26" t="s">
        <v>9</v>
      </c>
      <c r="C224" s="26">
        <v>12447</v>
      </c>
      <c r="D224" s="26">
        <v>14068</v>
      </c>
      <c r="E224" s="33">
        <f>+Engagement_Summary3[[#This Row],[Total_Followers]]-C220</f>
        <v>-24</v>
      </c>
    </row>
    <row r="225" spans="1:5">
      <c r="A225" s="32">
        <v>45733</v>
      </c>
      <c r="B225" s="26" t="s">
        <v>10</v>
      </c>
      <c r="C225" s="26">
        <v>17380</v>
      </c>
      <c r="D225" s="26">
        <v>35801</v>
      </c>
      <c r="E225" s="33">
        <f>+Engagement_Summary3[[#This Row],[Total_Followers]]-C221</f>
        <v>-81017</v>
      </c>
    </row>
    <row r="226" spans="1:5">
      <c r="A226" s="32">
        <v>45740</v>
      </c>
      <c r="B226" s="26" t="s">
        <v>7</v>
      </c>
      <c r="C226" s="26">
        <v>364810</v>
      </c>
      <c r="D226" s="26">
        <v>49077</v>
      </c>
      <c r="E226" s="33">
        <f>+Engagement_Summary3[[#This Row],[Total_Followers]]-C222</f>
        <v>-45520</v>
      </c>
    </row>
    <row r="227" spans="1:5">
      <c r="A227" s="32">
        <v>45740</v>
      </c>
      <c r="B227" s="26" t="s">
        <v>8</v>
      </c>
      <c r="C227" s="26">
        <v>373606</v>
      </c>
      <c r="D227" s="26">
        <v>21453</v>
      </c>
      <c r="E227" s="33">
        <f>+Engagement_Summary3[[#This Row],[Total_Followers]]-C223</f>
        <v>31477</v>
      </c>
    </row>
    <row r="228" spans="1:5">
      <c r="A228" s="32">
        <v>45740</v>
      </c>
      <c r="B228" s="26" t="s">
        <v>9</v>
      </c>
      <c r="C228" s="26">
        <v>211090</v>
      </c>
      <c r="D228" s="26">
        <v>21061</v>
      </c>
      <c r="E228" s="33">
        <f>+Engagement_Summary3[[#This Row],[Total_Followers]]-C224</f>
        <v>198643</v>
      </c>
    </row>
    <row r="229" spans="1:5">
      <c r="A229" s="32">
        <v>45740</v>
      </c>
      <c r="B229" s="26" t="s">
        <v>10</v>
      </c>
      <c r="C229" s="26">
        <v>441931</v>
      </c>
      <c r="D229" s="26">
        <v>20059</v>
      </c>
      <c r="E229" s="33">
        <f>+Engagement_Summary3[[#This Row],[Total_Followers]]-C225</f>
        <v>424551</v>
      </c>
    </row>
    <row r="230" spans="1:5">
      <c r="A230" s="32">
        <v>45747</v>
      </c>
      <c r="B230" s="26" t="s">
        <v>7</v>
      </c>
      <c r="C230" s="26">
        <v>282780</v>
      </c>
      <c r="D230" s="26">
        <v>23140</v>
      </c>
      <c r="E230" s="33">
        <f>+Engagement_Summary3[[#This Row],[Total_Followers]]-C226</f>
        <v>-82030</v>
      </c>
    </row>
    <row r="231" spans="1:5">
      <c r="A231" s="32">
        <v>45747</v>
      </c>
      <c r="B231" s="26" t="s">
        <v>8</v>
      </c>
      <c r="C231" s="26">
        <v>370070</v>
      </c>
      <c r="D231" s="26">
        <v>23461</v>
      </c>
      <c r="E231" s="33">
        <f>+Engagement_Summary3[[#This Row],[Total_Followers]]-C227</f>
        <v>-3536</v>
      </c>
    </row>
    <row r="232" spans="1:5">
      <c r="A232" s="32">
        <v>45747</v>
      </c>
      <c r="B232" s="26" t="s">
        <v>9</v>
      </c>
      <c r="C232" s="26">
        <v>198350</v>
      </c>
      <c r="D232" s="26">
        <v>11805</v>
      </c>
      <c r="E232" s="33">
        <f>+Engagement_Summary3[[#This Row],[Total_Followers]]-C228</f>
        <v>-12740</v>
      </c>
    </row>
    <row r="233" spans="1:5">
      <c r="A233" s="32">
        <v>45747</v>
      </c>
      <c r="B233" s="26" t="s">
        <v>10</v>
      </c>
      <c r="C233" s="26">
        <v>435726</v>
      </c>
      <c r="D233" s="26">
        <v>15969</v>
      </c>
      <c r="E233" s="33">
        <f>+Engagement_Summary3[[#This Row],[Total_Followers]]-C229</f>
        <v>-6205</v>
      </c>
    </row>
    <row r="234" spans="1:5">
      <c r="A234" s="32">
        <v>45754</v>
      </c>
      <c r="B234" s="26" t="s">
        <v>7</v>
      </c>
      <c r="C234" s="26">
        <v>78789</v>
      </c>
      <c r="D234" s="26">
        <v>2436</v>
      </c>
      <c r="E234" s="33">
        <f>+Engagement_Summary3[[#This Row],[Total_Followers]]-C230</f>
        <v>-203991</v>
      </c>
    </row>
    <row r="235" spans="1:5">
      <c r="A235" s="32">
        <v>45754</v>
      </c>
      <c r="B235" s="26" t="s">
        <v>8</v>
      </c>
      <c r="C235" s="26">
        <v>98596</v>
      </c>
      <c r="D235" s="26">
        <v>47603</v>
      </c>
      <c r="E235" s="33">
        <f>+Engagement_Summary3[[#This Row],[Total_Followers]]-C231</f>
        <v>-271474</v>
      </c>
    </row>
    <row r="236" spans="1:5">
      <c r="A236" s="32">
        <v>45754</v>
      </c>
      <c r="B236" s="26" t="s">
        <v>9</v>
      </c>
      <c r="C236" s="26">
        <v>29589</v>
      </c>
      <c r="D236" s="26">
        <v>42964</v>
      </c>
      <c r="E236" s="33">
        <f>+Engagement_Summary3[[#This Row],[Total_Followers]]-C232</f>
        <v>-168761</v>
      </c>
    </row>
    <row r="237" spans="1:5">
      <c r="A237" s="32">
        <v>45754</v>
      </c>
      <c r="B237" s="26" t="s">
        <v>10</v>
      </c>
      <c r="C237" s="26">
        <v>290354</v>
      </c>
      <c r="D237" s="26">
        <v>39923</v>
      </c>
      <c r="E237" s="33">
        <f>+Engagement_Summary3[[#This Row],[Total_Followers]]-C233</f>
        <v>-145372</v>
      </c>
    </row>
    <row r="238" spans="1:5">
      <c r="A238" s="32">
        <v>45761</v>
      </c>
      <c r="B238" s="26" t="s">
        <v>7</v>
      </c>
      <c r="C238" s="26">
        <v>66682</v>
      </c>
      <c r="D238" s="26">
        <v>2293</v>
      </c>
      <c r="E238" s="33">
        <f>+Engagement_Summary3[[#This Row],[Total_Followers]]-C234</f>
        <v>-12107</v>
      </c>
    </row>
    <row r="239" spans="1:5">
      <c r="A239" s="32">
        <v>45761</v>
      </c>
      <c r="B239" s="26" t="s">
        <v>8</v>
      </c>
      <c r="C239" s="26">
        <v>70707</v>
      </c>
      <c r="D239" s="26">
        <v>25920</v>
      </c>
      <c r="E239" s="33">
        <f>+Engagement_Summary3[[#This Row],[Total_Followers]]-C235</f>
        <v>-27889</v>
      </c>
    </row>
    <row r="240" spans="1:5">
      <c r="A240" s="32">
        <v>45761</v>
      </c>
      <c r="B240" s="26" t="s">
        <v>9</v>
      </c>
      <c r="C240" s="26">
        <v>142507</v>
      </c>
      <c r="D240" s="26">
        <v>11035</v>
      </c>
      <c r="E240" s="33">
        <f>+Engagement_Summary3[[#This Row],[Total_Followers]]-C236</f>
        <v>112918</v>
      </c>
    </row>
    <row r="241" spans="1:5">
      <c r="A241" s="32">
        <v>45761</v>
      </c>
      <c r="B241" s="26" t="s">
        <v>10</v>
      </c>
      <c r="C241" s="26">
        <v>369525</v>
      </c>
      <c r="D241" s="26">
        <v>20733</v>
      </c>
      <c r="E241" s="33">
        <f>+Engagement_Summary3[[#This Row],[Total_Followers]]-C237</f>
        <v>79171</v>
      </c>
    </row>
    <row r="242" spans="1:5">
      <c r="A242" s="32">
        <v>45768</v>
      </c>
      <c r="B242" s="26" t="s">
        <v>7</v>
      </c>
      <c r="C242" s="26">
        <v>62942</v>
      </c>
      <c r="D242" s="26">
        <v>18693</v>
      </c>
      <c r="E242" s="33">
        <f>+Engagement_Summary3[[#This Row],[Total_Followers]]-C238</f>
        <v>-3740</v>
      </c>
    </row>
    <row r="243" spans="1:5">
      <c r="A243" s="32">
        <v>45768</v>
      </c>
      <c r="B243" s="26" t="s">
        <v>8</v>
      </c>
      <c r="C243" s="26">
        <v>377382</v>
      </c>
      <c r="D243" s="26">
        <v>7875</v>
      </c>
      <c r="E243" s="33">
        <f>+Engagement_Summary3[[#This Row],[Total_Followers]]-C239</f>
        <v>306675</v>
      </c>
    </row>
    <row r="244" spans="1:5">
      <c r="A244" s="32">
        <v>45768</v>
      </c>
      <c r="B244" s="26" t="s">
        <v>9</v>
      </c>
      <c r="C244" s="26">
        <v>333851</v>
      </c>
      <c r="D244" s="26">
        <v>8471</v>
      </c>
      <c r="E244" s="33">
        <f>+Engagement_Summary3[[#This Row],[Total_Followers]]-C240</f>
        <v>191344</v>
      </c>
    </row>
    <row r="245" spans="1:5">
      <c r="A245" s="32">
        <v>45768</v>
      </c>
      <c r="B245" s="26" t="s">
        <v>10</v>
      </c>
      <c r="C245" s="26">
        <v>270958</v>
      </c>
      <c r="D245" s="26">
        <v>14090</v>
      </c>
      <c r="E245" s="33">
        <f>+Engagement_Summary3[[#This Row],[Total_Followers]]-C241</f>
        <v>-98567</v>
      </c>
    </row>
    <row r="246" spans="1:5">
      <c r="A246" s="32">
        <v>45775</v>
      </c>
      <c r="B246" s="26" t="s">
        <v>7</v>
      </c>
      <c r="C246" s="26">
        <v>445944</v>
      </c>
      <c r="D246" s="26">
        <v>14216</v>
      </c>
      <c r="E246" s="33">
        <f>+Engagement_Summary3[[#This Row],[Total_Followers]]-C242</f>
        <v>383002</v>
      </c>
    </row>
    <row r="247" spans="1:5">
      <c r="A247" s="32">
        <v>45775</v>
      </c>
      <c r="B247" s="26" t="s">
        <v>8</v>
      </c>
      <c r="C247" s="26">
        <v>224830</v>
      </c>
      <c r="D247" s="26">
        <v>3582</v>
      </c>
      <c r="E247" s="33">
        <f>+Engagement_Summary3[[#This Row],[Total_Followers]]-C243</f>
        <v>-152552</v>
      </c>
    </row>
    <row r="248" spans="1:5">
      <c r="A248" s="32">
        <v>45775</v>
      </c>
      <c r="B248" s="26" t="s">
        <v>9</v>
      </c>
      <c r="C248" s="26">
        <v>487289</v>
      </c>
      <c r="D248" s="26">
        <v>32500</v>
      </c>
      <c r="E248" s="33">
        <f>+Engagement_Summary3[[#This Row],[Total_Followers]]-C244</f>
        <v>153438</v>
      </c>
    </row>
    <row r="249" spans="1:5">
      <c r="A249" s="32">
        <v>45775</v>
      </c>
      <c r="B249" s="26" t="s">
        <v>10</v>
      </c>
      <c r="C249" s="26">
        <v>11435</v>
      </c>
      <c r="D249" s="26">
        <v>6832</v>
      </c>
      <c r="E249" s="33">
        <f>+Engagement_Summary3[[#This Row],[Total_Followers]]-C245</f>
        <v>-259523</v>
      </c>
    </row>
    <row r="250" spans="1:5">
      <c r="A250" s="32">
        <v>45782</v>
      </c>
      <c r="B250" s="26" t="s">
        <v>7</v>
      </c>
      <c r="C250" s="26">
        <v>447902</v>
      </c>
      <c r="D250" s="26">
        <v>33381</v>
      </c>
      <c r="E250" s="33">
        <f>+Engagement_Summary3[[#This Row],[Total_Followers]]-C246</f>
        <v>1958</v>
      </c>
    </row>
    <row r="251" spans="1:5">
      <c r="A251" s="32">
        <v>45782</v>
      </c>
      <c r="B251" s="26" t="s">
        <v>8</v>
      </c>
      <c r="C251" s="26">
        <v>418696</v>
      </c>
      <c r="D251" s="26">
        <v>48419</v>
      </c>
      <c r="E251" s="33">
        <f>+Engagement_Summary3[[#This Row],[Total_Followers]]-C247</f>
        <v>193866</v>
      </c>
    </row>
    <row r="252" spans="1:5">
      <c r="A252" s="32">
        <v>45782</v>
      </c>
      <c r="B252" s="26" t="s">
        <v>9</v>
      </c>
      <c r="C252" s="26">
        <v>484364</v>
      </c>
      <c r="D252" s="26">
        <v>16149</v>
      </c>
      <c r="E252" s="33">
        <f>+Engagement_Summary3[[#This Row],[Total_Followers]]-C248</f>
        <v>-2925</v>
      </c>
    </row>
    <row r="253" spans="1:5">
      <c r="A253" s="32">
        <v>45782</v>
      </c>
      <c r="B253" s="26" t="s">
        <v>10</v>
      </c>
      <c r="C253" s="26">
        <v>148477</v>
      </c>
      <c r="D253" s="26">
        <v>7541</v>
      </c>
      <c r="E253" s="33">
        <f>+Engagement_Summary3[[#This Row],[Total_Followers]]-C249</f>
        <v>137042</v>
      </c>
    </row>
    <row r="254" spans="1:5">
      <c r="A254" s="32">
        <v>45789</v>
      </c>
      <c r="B254" s="26" t="s">
        <v>7</v>
      </c>
      <c r="C254" s="26">
        <v>468301</v>
      </c>
      <c r="D254" s="26">
        <v>20042</v>
      </c>
      <c r="E254" s="33">
        <f>+Engagement_Summary3[[#This Row],[Total_Followers]]-C250</f>
        <v>20399</v>
      </c>
    </row>
    <row r="255" spans="1:5">
      <c r="A255" s="32">
        <v>45789</v>
      </c>
      <c r="B255" s="26" t="s">
        <v>8</v>
      </c>
      <c r="C255" s="26">
        <v>364820</v>
      </c>
      <c r="D255" s="26">
        <v>49400</v>
      </c>
      <c r="E255" s="33">
        <f>+Engagement_Summary3[[#This Row],[Total_Followers]]-C251</f>
        <v>-53876</v>
      </c>
    </row>
    <row r="256" spans="1:5">
      <c r="A256" s="32">
        <v>45789</v>
      </c>
      <c r="B256" s="26" t="s">
        <v>9</v>
      </c>
      <c r="C256" s="26">
        <v>456298</v>
      </c>
      <c r="D256" s="26">
        <v>4007</v>
      </c>
      <c r="E256" s="33">
        <f>+Engagement_Summary3[[#This Row],[Total_Followers]]-C252</f>
        <v>-28066</v>
      </c>
    </row>
    <row r="257" spans="1:5">
      <c r="A257" s="34">
        <v>45789</v>
      </c>
      <c r="B257" s="35" t="s">
        <v>10</v>
      </c>
      <c r="C257" s="35">
        <v>82558</v>
      </c>
      <c r="D257" s="35">
        <v>12174</v>
      </c>
      <c r="E257" s="36">
        <f>+Engagement_Summary3[[#This Row],[Total_Followers]]-C253</f>
        <v>-65919</v>
      </c>
    </row>
  </sheetData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F052C-61DD-4A1B-AB96-6E77EC57E83C}">
  <dimension ref="A1:R201"/>
  <sheetViews>
    <sheetView topLeftCell="A76" workbookViewId="0">
      <selection activeCell="Q3" sqref="Q3"/>
    </sheetView>
  </sheetViews>
  <sheetFormatPr defaultRowHeight="15"/>
  <cols>
    <col min="1" max="1" width="17.42578125" bestFit="1" customWidth="1"/>
    <col min="2" max="2" width="9.5703125" bestFit="1" customWidth="1"/>
    <col min="3" max="3" width="9.85546875" bestFit="1" customWidth="1"/>
    <col min="4" max="4" width="7.28515625" bestFit="1" customWidth="1"/>
    <col min="5" max="5" width="8.5703125" bestFit="1" customWidth="1"/>
    <col min="6" max="6" width="11.28515625" bestFit="1" customWidth="1"/>
    <col min="7" max="7" width="17.28515625" bestFit="1" customWidth="1"/>
    <col min="8" max="8" width="16.5703125" bestFit="1" customWidth="1"/>
    <col min="9" max="9" width="13.7109375" customWidth="1"/>
    <col min="10" max="10" width="15.7109375" bestFit="1" customWidth="1"/>
    <col min="11" max="11" width="22.140625" bestFit="1" customWidth="1"/>
    <col min="12" max="12" width="22" bestFit="1" customWidth="1"/>
    <col min="13" max="13" width="22.85546875" bestFit="1" customWidth="1"/>
    <col min="14" max="14" width="20.5703125" bestFit="1" customWidth="1"/>
    <col min="15" max="15" width="19.7109375" bestFit="1" customWidth="1"/>
    <col min="16" max="16" width="19.5703125" bestFit="1" customWidth="1"/>
    <col min="17" max="17" width="16.85546875" bestFit="1" customWidth="1"/>
    <col min="18" max="18" width="18.28515625" bestFit="1" customWidth="1"/>
  </cols>
  <sheetData>
    <row r="1" spans="1:18">
      <c r="A1" s="11"/>
      <c r="B1" s="12"/>
      <c r="C1" s="13"/>
      <c r="K1" s="37" t="s">
        <v>19</v>
      </c>
      <c r="L1" s="38"/>
      <c r="M1" s="38"/>
      <c r="N1" s="38"/>
    </row>
    <row r="2" spans="1:18">
      <c r="A2" s="14" t="s">
        <v>11</v>
      </c>
      <c r="B2" s="15" t="s">
        <v>8</v>
      </c>
      <c r="C2" s="15" t="s">
        <v>7</v>
      </c>
      <c r="D2" s="16" t="s">
        <v>9</v>
      </c>
      <c r="E2" s="16" t="s">
        <v>10</v>
      </c>
      <c r="F2" s="16" t="s">
        <v>12</v>
      </c>
      <c r="G2" s="16" t="s">
        <v>15</v>
      </c>
      <c r="H2" s="15" t="s">
        <v>16</v>
      </c>
      <c r="I2" s="16" t="s">
        <v>17</v>
      </c>
      <c r="J2" s="16" t="s">
        <v>18</v>
      </c>
      <c r="K2" s="16" t="s">
        <v>20</v>
      </c>
      <c r="L2" s="15" t="s">
        <v>21</v>
      </c>
      <c r="M2" s="16" t="s">
        <v>22</v>
      </c>
      <c r="N2" s="16" t="s">
        <v>23</v>
      </c>
      <c r="O2" s="16" t="s">
        <v>24</v>
      </c>
      <c r="P2" s="15" t="s">
        <v>25</v>
      </c>
      <c r="Q2" s="16" t="s">
        <v>26</v>
      </c>
      <c r="R2" s="16" t="s">
        <v>27</v>
      </c>
    </row>
    <row r="3" spans="1:18">
      <c r="A3" s="17">
        <v>45446</v>
      </c>
      <c r="B3" s="5">
        <v>42654</v>
      </c>
      <c r="C3" s="5">
        <v>344084</v>
      </c>
      <c r="D3" s="2">
        <v>146834</v>
      </c>
      <c r="E3" s="2">
        <v>395536</v>
      </c>
      <c r="F3" s="2">
        <v>395536</v>
      </c>
      <c r="G3" s="2">
        <f>IF(B3=" "," ",B4-B3)</f>
        <v>273901</v>
      </c>
      <c r="H3" s="2">
        <f>IF(C3=" "," ",C4-C3)</f>
        <v>-294927</v>
      </c>
      <c r="I3" s="2">
        <f>IF(D3=" "," ",D4-D3)</f>
        <v>107513</v>
      </c>
      <c r="J3" s="2">
        <f>IF(E3=" "," ",E4-E3)</f>
        <v>18342</v>
      </c>
      <c r="K3" s="2">
        <f>MAX(G3:G52)</f>
        <v>379973</v>
      </c>
      <c r="L3" s="2">
        <f>MAX(H3:H52)</f>
        <v>414304</v>
      </c>
      <c r="M3" s="2">
        <f>MAX(I3:I52)</f>
        <v>411580</v>
      </c>
      <c r="N3" s="2">
        <f>MAX(J3:J52)</f>
        <v>424551</v>
      </c>
      <c r="O3" s="1">
        <f>INDEX($A$3:$A$52, MATCH(MAX(G3:G53), G3:G53, 0))</f>
        <v>45635</v>
      </c>
      <c r="P3" s="1">
        <f>INDEX($A$3:$A$52, MATCH(MAX(H3:H53), H3:H53, 0))</f>
        <v>45502</v>
      </c>
      <c r="Q3" s="1">
        <f>INDEX($A$3:$A$52, MATCH(MAX(I3:I53), I3:I53, 0))</f>
        <v>45565</v>
      </c>
      <c r="R3" s="1">
        <f>INDEX($A$3:$A$52, MATCH(MAX(J3:J53), J3:J53, 0))</f>
        <v>45733</v>
      </c>
    </row>
    <row r="4" spans="1:18">
      <c r="A4" s="17">
        <v>45453</v>
      </c>
      <c r="B4" s="5">
        <v>316555</v>
      </c>
      <c r="C4" s="5">
        <v>49157</v>
      </c>
      <c r="D4" s="2">
        <v>254347</v>
      </c>
      <c r="E4" s="2">
        <v>413878</v>
      </c>
      <c r="F4" s="2">
        <v>413878</v>
      </c>
      <c r="G4" s="2">
        <f t="shared" ref="G4:G53" si="0">IF(B4=" "," ",B5-B4)</f>
        <v>-147059</v>
      </c>
      <c r="H4" s="2">
        <f t="shared" ref="H4:H53" si="1">IF(C4=" "," ",C5-C4)</f>
        <v>407789</v>
      </c>
      <c r="I4" s="2">
        <f t="shared" ref="I4:I53" si="2">IF(D4=" "," ",D5-D4)</f>
        <v>-131615</v>
      </c>
      <c r="J4" s="2">
        <f t="shared" ref="J4:J53" si="3">IF(E4=" "," ",E5-E4)</f>
        <v>-31027</v>
      </c>
      <c r="K4" s="21"/>
    </row>
    <row r="5" spans="1:18">
      <c r="A5" s="17">
        <v>45460</v>
      </c>
      <c r="B5" s="5">
        <v>169496</v>
      </c>
      <c r="C5" s="5">
        <v>456946</v>
      </c>
      <c r="D5" s="2">
        <v>122732</v>
      </c>
      <c r="E5" s="2">
        <v>382851</v>
      </c>
      <c r="F5" s="2">
        <v>456946</v>
      </c>
      <c r="G5" s="2">
        <f t="shared" si="0"/>
        <v>-143201</v>
      </c>
      <c r="H5" s="2">
        <f t="shared" si="1"/>
        <v>-421282</v>
      </c>
      <c r="I5" s="2">
        <f t="shared" si="2"/>
        <v>175689</v>
      </c>
      <c r="J5" s="2">
        <f t="shared" si="3"/>
        <v>43333</v>
      </c>
      <c r="K5" s="21"/>
    </row>
    <row r="6" spans="1:18">
      <c r="A6" s="17">
        <v>45467</v>
      </c>
      <c r="B6" s="5">
        <v>26295</v>
      </c>
      <c r="C6" s="5">
        <v>35664</v>
      </c>
      <c r="D6" s="2">
        <v>298421</v>
      </c>
      <c r="E6" s="2">
        <v>426184</v>
      </c>
      <c r="F6" s="2">
        <v>426184</v>
      </c>
      <c r="G6" s="2">
        <f t="shared" si="0"/>
        <v>193725</v>
      </c>
      <c r="H6" s="2">
        <f t="shared" si="1"/>
        <v>383783</v>
      </c>
      <c r="I6" s="2">
        <f t="shared" si="2"/>
        <v>16884</v>
      </c>
      <c r="J6" s="2">
        <f t="shared" si="3"/>
        <v>-312506</v>
      </c>
      <c r="K6" s="19"/>
      <c r="L6" s="22"/>
      <c r="M6" s="22"/>
      <c r="N6" s="22"/>
    </row>
    <row r="7" spans="1:18">
      <c r="A7" s="17">
        <v>45474</v>
      </c>
      <c r="B7" s="5">
        <v>220020</v>
      </c>
      <c r="C7" s="5">
        <v>419447</v>
      </c>
      <c r="D7" s="2">
        <v>315305</v>
      </c>
      <c r="E7" s="2">
        <v>113678</v>
      </c>
      <c r="F7" s="2">
        <v>419447</v>
      </c>
      <c r="G7" s="2">
        <f t="shared" si="0"/>
        <v>31674</v>
      </c>
      <c r="H7" s="2">
        <f t="shared" si="1"/>
        <v>-361224</v>
      </c>
      <c r="I7" s="2">
        <f t="shared" si="2"/>
        <v>74505</v>
      </c>
      <c r="J7" s="2">
        <f t="shared" si="3"/>
        <v>120016</v>
      </c>
      <c r="K7" s="21"/>
      <c r="L7" s="21"/>
    </row>
    <row r="8" spans="1:18">
      <c r="A8" s="17">
        <v>45481</v>
      </c>
      <c r="B8" s="5">
        <v>251694</v>
      </c>
      <c r="C8" s="5">
        <v>58223</v>
      </c>
      <c r="D8" s="2">
        <v>389810</v>
      </c>
      <c r="E8" s="2">
        <v>233694</v>
      </c>
      <c r="F8" s="2">
        <v>389810</v>
      </c>
      <c r="G8" s="2">
        <f t="shared" si="0"/>
        <v>82932</v>
      </c>
      <c r="H8" s="2">
        <f t="shared" si="1"/>
        <v>95946</v>
      </c>
      <c r="I8" s="2">
        <f t="shared" si="2"/>
        <v>-163808</v>
      </c>
      <c r="J8" s="2">
        <f t="shared" si="3"/>
        <v>-77011</v>
      </c>
      <c r="K8" s="21"/>
    </row>
    <row r="9" spans="1:18">
      <c r="A9" s="17">
        <v>45488</v>
      </c>
      <c r="B9" s="5">
        <v>334626</v>
      </c>
      <c r="C9" s="5">
        <v>154169</v>
      </c>
      <c r="D9" s="2">
        <v>226002</v>
      </c>
      <c r="E9" s="2">
        <v>156683</v>
      </c>
      <c r="F9" s="2">
        <v>334626</v>
      </c>
      <c r="G9" s="2">
        <f t="shared" si="0"/>
        <v>-39594</v>
      </c>
      <c r="H9" s="2">
        <f t="shared" si="1"/>
        <v>319643</v>
      </c>
      <c r="I9" s="2">
        <f t="shared" si="2"/>
        <v>-27724</v>
      </c>
      <c r="J9" s="2">
        <f t="shared" si="3"/>
        <v>149881</v>
      </c>
      <c r="K9" s="21"/>
    </row>
    <row r="10" spans="1:18">
      <c r="A10" s="17">
        <v>45495</v>
      </c>
      <c r="B10" s="5">
        <v>295032</v>
      </c>
      <c r="C10" s="5">
        <v>473812</v>
      </c>
      <c r="D10" s="2">
        <v>198278</v>
      </c>
      <c r="E10" s="2">
        <v>306564</v>
      </c>
      <c r="F10" s="2">
        <v>473812</v>
      </c>
      <c r="G10" s="2">
        <f t="shared" si="0"/>
        <v>140002</v>
      </c>
      <c r="H10" s="2">
        <f t="shared" si="1"/>
        <v>-450148</v>
      </c>
      <c r="I10" s="2">
        <f t="shared" si="2"/>
        <v>89296</v>
      </c>
      <c r="J10" s="2">
        <f t="shared" si="3"/>
        <v>-244065</v>
      </c>
    </row>
    <row r="11" spans="1:18">
      <c r="A11" s="17">
        <v>45502</v>
      </c>
      <c r="B11" s="5">
        <v>435034</v>
      </c>
      <c r="C11" s="5">
        <v>23664</v>
      </c>
      <c r="D11" s="2">
        <v>287574</v>
      </c>
      <c r="E11" s="2">
        <v>62499</v>
      </c>
      <c r="F11" s="2">
        <v>435034</v>
      </c>
      <c r="G11" s="2">
        <f t="shared" si="0"/>
        <v>-310000</v>
      </c>
      <c r="H11" s="2">
        <f t="shared" si="1"/>
        <v>414304</v>
      </c>
      <c r="I11" s="2">
        <f t="shared" si="2"/>
        <v>162420</v>
      </c>
      <c r="J11" s="2">
        <f t="shared" si="3"/>
        <v>258151</v>
      </c>
    </row>
    <row r="12" spans="1:18">
      <c r="A12" s="17">
        <v>45509</v>
      </c>
      <c r="B12" s="5">
        <v>125034</v>
      </c>
      <c r="C12" s="5">
        <v>437968</v>
      </c>
      <c r="D12" s="2">
        <v>449994</v>
      </c>
      <c r="E12" s="2">
        <v>320650</v>
      </c>
      <c r="F12" s="2">
        <v>449994</v>
      </c>
      <c r="G12" s="2">
        <f t="shared" si="0"/>
        <v>182578</v>
      </c>
      <c r="H12" s="2">
        <f t="shared" si="1"/>
        <v>51220</v>
      </c>
      <c r="I12" s="2">
        <f t="shared" si="2"/>
        <v>-15111</v>
      </c>
      <c r="J12" s="2">
        <f t="shared" si="3"/>
        <v>-218608</v>
      </c>
    </row>
    <row r="13" spans="1:18">
      <c r="A13" s="17">
        <v>45516</v>
      </c>
      <c r="B13" s="5">
        <v>307612</v>
      </c>
      <c r="C13" s="5">
        <v>489188</v>
      </c>
      <c r="D13" s="2">
        <v>434883</v>
      </c>
      <c r="E13" s="2">
        <v>102042</v>
      </c>
      <c r="F13" s="2">
        <v>489188</v>
      </c>
      <c r="G13" s="2">
        <f t="shared" si="0"/>
        <v>-123688</v>
      </c>
      <c r="H13" s="2">
        <f t="shared" si="1"/>
        <v>-163744</v>
      </c>
      <c r="I13" s="2">
        <f t="shared" si="2"/>
        <v>-246228</v>
      </c>
      <c r="J13" s="2">
        <f t="shared" si="3"/>
        <v>-14599</v>
      </c>
    </row>
    <row r="14" spans="1:18">
      <c r="A14" s="17">
        <v>45523</v>
      </c>
      <c r="B14" s="5">
        <v>183924</v>
      </c>
      <c r="C14" s="5">
        <v>325444</v>
      </c>
      <c r="D14" s="2">
        <v>188655</v>
      </c>
      <c r="E14" s="2">
        <v>87443</v>
      </c>
      <c r="F14" s="2">
        <v>325444</v>
      </c>
      <c r="G14" s="2">
        <f t="shared" si="0"/>
        <v>195456</v>
      </c>
      <c r="H14" s="2">
        <f t="shared" si="1"/>
        <v>128355</v>
      </c>
      <c r="I14" s="2">
        <f t="shared" si="2"/>
        <v>-2201</v>
      </c>
      <c r="J14" s="2">
        <f t="shared" si="3"/>
        <v>151601</v>
      </c>
    </row>
    <row r="15" spans="1:18">
      <c r="A15" s="17">
        <v>45530</v>
      </c>
      <c r="B15" s="5">
        <v>379380</v>
      </c>
      <c r="C15" s="5">
        <v>453799</v>
      </c>
      <c r="D15" s="2">
        <v>186454</v>
      </c>
      <c r="E15" s="2">
        <v>239044</v>
      </c>
      <c r="F15" s="2">
        <v>453799</v>
      </c>
      <c r="G15" s="2">
        <f t="shared" si="0"/>
        <v>117602</v>
      </c>
      <c r="H15" s="2">
        <f t="shared" si="1"/>
        <v>-352467</v>
      </c>
      <c r="I15" s="2">
        <f t="shared" si="2"/>
        <v>132325</v>
      </c>
      <c r="J15" s="2">
        <f t="shared" si="3"/>
        <v>131927</v>
      </c>
    </row>
    <row r="16" spans="1:18">
      <c r="A16" s="17">
        <v>45537</v>
      </c>
      <c r="B16" s="5">
        <v>496982</v>
      </c>
      <c r="C16" s="5">
        <v>101332</v>
      </c>
      <c r="D16" s="2">
        <v>318779</v>
      </c>
      <c r="E16" s="2">
        <v>370971</v>
      </c>
      <c r="F16" s="2">
        <v>496982</v>
      </c>
      <c r="G16" s="2">
        <f t="shared" si="0"/>
        <v>-189458</v>
      </c>
      <c r="H16" s="2">
        <f t="shared" si="1"/>
        <v>276722</v>
      </c>
      <c r="I16" s="2">
        <f t="shared" si="2"/>
        <v>115268</v>
      </c>
      <c r="J16" s="2">
        <f t="shared" si="3"/>
        <v>-306388</v>
      </c>
    </row>
    <row r="17" spans="1:10">
      <c r="A17" s="17">
        <v>45544</v>
      </c>
      <c r="B17" s="5">
        <v>307524</v>
      </c>
      <c r="C17" s="5">
        <v>378054</v>
      </c>
      <c r="D17" s="2">
        <v>434047</v>
      </c>
      <c r="E17" s="2">
        <v>64583</v>
      </c>
      <c r="F17" s="2">
        <v>434047</v>
      </c>
      <c r="G17" s="2">
        <f t="shared" si="0"/>
        <v>166638</v>
      </c>
      <c r="H17" s="2">
        <f t="shared" si="1"/>
        <v>-327261</v>
      </c>
      <c r="I17" s="2">
        <f t="shared" si="2"/>
        <v>-41692</v>
      </c>
      <c r="J17" s="2">
        <f t="shared" si="3"/>
        <v>55351</v>
      </c>
    </row>
    <row r="18" spans="1:10">
      <c r="A18" s="17">
        <v>45551</v>
      </c>
      <c r="B18" s="5">
        <v>474162</v>
      </c>
      <c r="C18" s="5">
        <v>50793</v>
      </c>
      <c r="D18" s="2">
        <v>392355</v>
      </c>
      <c r="E18" s="2">
        <v>119934</v>
      </c>
      <c r="F18" s="2">
        <v>474162</v>
      </c>
      <c r="G18" s="2">
        <f t="shared" si="0"/>
        <v>-234409</v>
      </c>
      <c r="H18" s="2">
        <f t="shared" si="1"/>
        <v>371832</v>
      </c>
      <c r="I18" s="2">
        <f t="shared" si="2"/>
        <v>-123839</v>
      </c>
      <c r="J18" s="2">
        <f t="shared" si="3"/>
        <v>-56757</v>
      </c>
    </row>
    <row r="19" spans="1:10">
      <c r="A19" s="17">
        <v>45558</v>
      </c>
      <c r="B19" s="5">
        <v>239753</v>
      </c>
      <c r="C19" s="5">
        <v>422625</v>
      </c>
      <c r="D19" s="2">
        <v>268516</v>
      </c>
      <c r="E19" s="2">
        <v>63177</v>
      </c>
      <c r="F19" s="2">
        <v>422625</v>
      </c>
      <c r="G19" s="2">
        <f t="shared" si="0"/>
        <v>213670</v>
      </c>
      <c r="H19" s="2">
        <f t="shared" si="1"/>
        <v>-52356</v>
      </c>
      <c r="I19" s="2">
        <f t="shared" si="2"/>
        <v>-203610</v>
      </c>
      <c r="J19" s="2">
        <f t="shared" si="3"/>
        <v>31183</v>
      </c>
    </row>
    <row r="20" spans="1:10">
      <c r="A20" s="17">
        <v>45565</v>
      </c>
      <c r="B20" s="5">
        <v>453423</v>
      </c>
      <c r="C20" s="5">
        <v>370269</v>
      </c>
      <c r="D20" s="2">
        <v>64906</v>
      </c>
      <c r="E20" s="2">
        <v>94360</v>
      </c>
      <c r="F20" s="2">
        <v>453423</v>
      </c>
      <c r="G20" s="2">
        <f t="shared" si="0"/>
        <v>-74060</v>
      </c>
      <c r="H20" s="2">
        <f t="shared" si="1"/>
        <v>-183086</v>
      </c>
      <c r="I20" s="2">
        <f t="shared" si="2"/>
        <v>411580</v>
      </c>
      <c r="J20" s="2">
        <f t="shared" si="3"/>
        <v>23407</v>
      </c>
    </row>
    <row r="21" spans="1:10">
      <c r="A21" s="17">
        <v>45572</v>
      </c>
      <c r="B21" s="5">
        <v>379363</v>
      </c>
      <c r="C21" s="5">
        <v>187183</v>
      </c>
      <c r="D21" s="2">
        <v>476486</v>
      </c>
      <c r="E21" s="2">
        <v>117767</v>
      </c>
      <c r="F21" s="2">
        <v>476486</v>
      </c>
      <c r="G21" s="2">
        <f t="shared" si="0"/>
        <v>-221764</v>
      </c>
      <c r="H21" s="2">
        <f t="shared" si="1"/>
        <v>201372</v>
      </c>
      <c r="I21" s="2">
        <f t="shared" si="2"/>
        <v>-166714</v>
      </c>
      <c r="J21" s="2">
        <f t="shared" si="3"/>
        <v>81411</v>
      </c>
    </row>
    <row r="22" spans="1:10">
      <c r="A22" s="17">
        <v>45579</v>
      </c>
      <c r="B22" s="5">
        <v>157599</v>
      </c>
      <c r="C22" s="5">
        <v>388555</v>
      </c>
      <c r="D22" s="2">
        <v>309772</v>
      </c>
      <c r="E22" s="2">
        <v>199178</v>
      </c>
      <c r="F22" s="2">
        <v>388555</v>
      </c>
      <c r="G22" s="2">
        <f t="shared" si="0"/>
        <v>-134107</v>
      </c>
      <c r="H22" s="2">
        <f t="shared" si="1"/>
        <v>-31466</v>
      </c>
      <c r="I22" s="2">
        <f t="shared" si="2"/>
        <v>-51485</v>
      </c>
      <c r="J22" s="2">
        <f t="shared" si="3"/>
        <v>57732</v>
      </c>
    </row>
    <row r="23" spans="1:10">
      <c r="A23" s="17">
        <v>45586</v>
      </c>
      <c r="B23" s="5">
        <v>23492</v>
      </c>
      <c r="C23" s="5">
        <v>357089</v>
      </c>
      <c r="D23" s="2">
        <v>258287</v>
      </c>
      <c r="E23" s="2">
        <v>256910</v>
      </c>
      <c r="F23" s="2">
        <v>357089</v>
      </c>
      <c r="G23" s="2">
        <f t="shared" si="0"/>
        <v>186495</v>
      </c>
      <c r="H23" s="2">
        <f t="shared" si="1"/>
        <v>-10567</v>
      </c>
      <c r="I23" s="2">
        <f t="shared" si="2"/>
        <v>-17737</v>
      </c>
      <c r="J23" s="2">
        <f t="shared" si="3"/>
        <v>48917</v>
      </c>
    </row>
    <row r="24" spans="1:10">
      <c r="A24" s="17">
        <v>45593</v>
      </c>
      <c r="B24" s="5">
        <v>209987</v>
      </c>
      <c r="C24" s="5">
        <v>346522</v>
      </c>
      <c r="D24" s="2">
        <v>240550</v>
      </c>
      <c r="E24" s="2">
        <v>305827</v>
      </c>
      <c r="F24" s="2">
        <v>346522</v>
      </c>
      <c r="G24" s="2">
        <f t="shared" si="0"/>
        <v>109199</v>
      </c>
      <c r="H24" s="2">
        <f t="shared" si="1"/>
        <v>-291587</v>
      </c>
      <c r="I24" s="2">
        <f t="shared" si="2"/>
        <v>198530</v>
      </c>
      <c r="J24" s="2">
        <f t="shared" si="3"/>
        <v>-46883</v>
      </c>
    </row>
    <row r="25" spans="1:10">
      <c r="A25" s="17">
        <v>45600</v>
      </c>
      <c r="B25" s="5">
        <v>319186</v>
      </c>
      <c r="C25" s="5">
        <v>54935</v>
      </c>
      <c r="D25" s="2">
        <v>439080</v>
      </c>
      <c r="E25" s="2">
        <v>258944</v>
      </c>
      <c r="F25" s="2">
        <v>439080</v>
      </c>
      <c r="G25" s="2">
        <f t="shared" si="0"/>
        <v>-9703</v>
      </c>
      <c r="H25" s="2">
        <f t="shared" si="1"/>
        <v>-3540</v>
      </c>
      <c r="I25" s="2">
        <f t="shared" si="2"/>
        <v>-351775</v>
      </c>
      <c r="J25" s="2">
        <f t="shared" si="3"/>
        <v>-137853</v>
      </c>
    </row>
    <row r="26" spans="1:10">
      <c r="A26" s="17">
        <v>45607</v>
      </c>
      <c r="B26" s="5">
        <v>309483</v>
      </c>
      <c r="C26" s="5">
        <v>51395</v>
      </c>
      <c r="D26" s="2">
        <v>87305</v>
      </c>
      <c r="E26" s="2">
        <v>121091</v>
      </c>
      <c r="F26" s="2">
        <v>309483</v>
      </c>
      <c r="G26" s="2">
        <f t="shared" si="0"/>
        <v>29364</v>
      </c>
      <c r="H26" s="2">
        <f t="shared" si="1"/>
        <v>-308</v>
      </c>
      <c r="I26" s="2">
        <f t="shared" si="2"/>
        <v>400218</v>
      </c>
      <c r="J26" s="2">
        <f t="shared" si="3"/>
        <v>180604</v>
      </c>
    </row>
    <row r="27" spans="1:10">
      <c r="A27" s="17">
        <v>45614</v>
      </c>
      <c r="B27" s="5">
        <v>338847</v>
      </c>
      <c r="C27" s="5">
        <v>51087</v>
      </c>
      <c r="D27" s="2">
        <v>487523</v>
      </c>
      <c r="E27" s="2">
        <v>301695</v>
      </c>
      <c r="F27" s="2">
        <v>487523</v>
      </c>
      <c r="G27" s="2">
        <f t="shared" si="0"/>
        <v>-2186</v>
      </c>
      <c r="H27" s="2">
        <f t="shared" si="1"/>
        <v>231379</v>
      </c>
      <c r="I27" s="2">
        <f t="shared" si="2"/>
        <v>-399068</v>
      </c>
      <c r="J27" s="2">
        <f t="shared" si="3"/>
        <v>-239160</v>
      </c>
    </row>
    <row r="28" spans="1:10">
      <c r="A28" s="17">
        <v>45621</v>
      </c>
      <c r="B28" s="5">
        <v>336661</v>
      </c>
      <c r="C28" s="5">
        <v>282466</v>
      </c>
      <c r="D28" s="2">
        <v>88455</v>
      </c>
      <c r="E28" s="2">
        <v>62535</v>
      </c>
      <c r="F28" s="2">
        <v>336661</v>
      </c>
      <c r="G28" s="2">
        <f t="shared" si="0"/>
        <v>133608</v>
      </c>
      <c r="H28" s="2">
        <f t="shared" si="1"/>
        <v>139491</v>
      </c>
      <c r="I28" s="2">
        <f t="shared" si="2"/>
        <v>221449</v>
      </c>
      <c r="J28" s="2">
        <f t="shared" si="3"/>
        <v>158739</v>
      </c>
    </row>
    <row r="29" spans="1:10">
      <c r="A29" s="17">
        <v>45628</v>
      </c>
      <c r="B29" s="5">
        <v>470269</v>
      </c>
      <c r="C29" s="5">
        <v>421957</v>
      </c>
      <c r="D29" s="2">
        <v>309904</v>
      </c>
      <c r="E29" s="2">
        <v>221274</v>
      </c>
      <c r="F29" s="2">
        <v>470269</v>
      </c>
      <c r="G29" s="2">
        <f t="shared" si="0"/>
        <v>-434427</v>
      </c>
      <c r="H29" s="2">
        <f t="shared" si="1"/>
        <v>-201341</v>
      </c>
      <c r="I29" s="2">
        <f t="shared" si="2"/>
        <v>-289297</v>
      </c>
      <c r="J29" s="2">
        <f t="shared" si="3"/>
        <v>230620</v>
      </c>
    </row>
    <row r="30" spans="1:10" s="41" customFormat="1">
      <c r="A30" s="39">
        <v>45635</v>
      </c>
      <c r="B30" s="40">
        <v>35842</v>
      </c>
      <c r="C30" s="40">
        <v>220616</v>
      </c>
      <c r="D30" s="40">
        <v>20607</v>
      </c>
      <c r="E30" s="40">
        <v>451894</v>
      </c>
      <c r="F30" s="40">
        <v>451894</v>
      </c>
      <c r="G30" s="40">
        <f t="shared" si="0"/>
        <v>379973</v>
      </c>
      <c r="H30" s="40">
        <f t="shared" si="1"/>
        <v>244937</v>
      </c>
      <c r="I30" s="40">
        <f t="shared" si="2"/>
        <v>306576</v>
      </c>
      <c r="J30" s="40">
        <f t="shared" si="3"/>
        <v>37007</v>
      </c>
    </row>
    <row r="31" spans="1:10">
      <c r="A31" s="17">
        <v>45642</v>
      </c>
      <c r="B31" s="5">
        <v>415815</v>
      </c>
      <c r="C31" s="5">
        <v>465553</v>
      </c>
      <c r="D31" s="2">
        <v>327183</v>
      </c>
      <c r="E31" s="2">
        <v>488901</v>
      </c>
      <c r="F31" s="2">
        <v>488901</v>
      </c>
      <c r="G31" s="2">
        <f t="shared" si="0"/>
        <v>-322468</v>
      </c>
      <c r="H31" s="2">
        <f t="shared" si="1"/>
        <v>-184758</v>
      </c>
      <c r="I31" s="2">
        <f t="shared" si="2"/>
        <v>-246064</v>
      </c>
      <c r="J31" s="2">
        <f t="shared" si="3"/>
        <v>-463724</v>
      </c>
    </row>
    <row r="32" spans="1:10">
      <c r="A32" s="17">
        <v>45649</v>
      </c>
      <c r="B32" s="5">
        <v>93347</v>
      </c>
      <c r="C32" s="5">
        <v>280795</v>
      </c>
      <c r="D32" s="2">
        <v>81119</v>
      </c>
      <c r="E32" s="2">
        <v>25177</v>
      </c>
      <c r="F32" s="2">
        <v>280795</v>
      </c>
      <c r="G32" s="2">
        <f t="shared" si="0"/>
        <v>286084</v>
      </c>
      <c r="H32" s="2">
        <f t="shared" si="1"/>
        <v>-139991</v>
      </c>
      <c r="I32" s="2">
        <f t="shared" si="2"/>
        <v>193712</v>
      </c>
      <c r="J32" s="2">
        <f t="shared" si="3"/>
        <v>111668</v>
      </c>
    </row>
    <row r="33" spans="1:10">
      <c r="A33" s="17">
        <v>45656</v>
      </c>
      <c r="B33" s="5">
        <v>379431</v>
      </c>
      <c r="C33" s="5">
        <v>140804</v>
      </c>
      <c r="D33" s="2">
        <v>274831</v>
      </c>
      <c r="E33" s="2">
        <v>136845</v>
      </c>
      <c r="F33" s="2">
        <v>379431</v>
      </c>
      <c r="G33" s="2">
        <f t="shared" si="0"/>
        <v>-283703</v>
      </c>
      <c r="H33" s="2">
        <f t="shared" si="1"/>
        <v>325578</v>
      </c>
      <c r="I33" s="2">
        <f t="shared" si="2"/>
        <v>96325</v>
      </c>
      <c r="J33" s="2">
        <f t="shared" si="3"/>
        <v>-41435</v>
      </c>
    </row>
    <row r="34" spans="1:10">
      <c r="A34" s="17">
        <v>45663</v>
      </c>
      <c r="B34" s="5">
        <v>95728</v>
      </c>
      <c r="C34" s="5">
        <v>466382</v>
      </c>
      <c r="D34" s="2">
        <v>371156</v>
      </c>
      <c r="E34" s="2">
        <v>95410</v>
      </c>
      <c r="F34" s="2">
        <v>466382</v>
      </c>
      <c r="G34" s="2">
        <f t="shared" si="0"/>
        <v>128971</v>
      </c>
      <c r="H34" s="2">
        <f t="shared" si="1"/>
        <v>-116969</v>
      </c>
      <c r="I34" s="2">
        <f t="shared" si="2"/>
        <v>116740</v>
      </c>
      <c r="J34" s="2">
        <f t="shared" si="3"/>
        <v>-80973</v>
      </c>
    </row>
    <row r="35" spans="1:10">
      <c r="A35" s="17">
        <v>45670</v>
      </c>
      <c r="B35" s="5">
        <v>224699</v>
      </c>
      <c r="C35" s="5">
        <v>349413</v>
      </c>
      <c r="D35" s="2">
        <v>487896</v>
      </c>
      <c r="E35" s="2">
        <v>14437</v>
      </c>
      <c r="F35" s="2">
        <v>487896</v>
      </c>
      <c r="G35" s="2">
        <f t="shared" si="0"/>
        <v>254791</v>
      </c>
      <c r="H35" s="2">
        <f t="shared" si="1"/>
        <v>34268</v>
      </c>
      <c r="I35" s="2">
        <f t="shared" si="2"/>
        <v>-363492</v>
      </c>
      <c r="J35" s="2">
        <f t="shared" si="3"/>
        <v>322512</v>
      </c>
    </row>
    <row r="36" spans="1:10">
      <c r="A36" s="17">
        <v>45677</v>
      </c>
      <c r="B36" s="5">
        <v>479490</v>
      </c>
      <c r="C36" s="5">
        <v>383681</v>
      </c>
      <c r="D36" s="2">
        <v>124404</v>
      </c>
      <c r="E36" s="2">
        <v>336949</v>
      </c>
      <c r="F36" s="2">
        <v>479490</v>
      </c>
      <c r="G36" s="2">
        <f t="shared" si="0"/>
        <v>-158183</v>
      </c>
      <c r="H36" s="2">
        <f t="shared" si="1"/>
        <v>-26416</v>
      </c>
      <c r="I36" s="2">
        <f t="shared" si="2"/>
        <v>138165</v>
      </c>
      <c r="J36" s="2">
        <f t="shared" si="3"/>
        <v>124720</v>
      </c>
    </row>
    <row r="37" spans="1:10">
      <c r="A37" s="17">
        <v>45684</v>
      </c>
      <c r="B37" s="5">
        <v>321307</v>
      </c>
      <c r="C37" s="5">
        <v>357265</v>
      </c>
      <c r="D37" s="2">
        <v>262569</v>
      </c>
      <c r="E37" s="2">
        <v>461669</v>
      </c>
      <c r="F37" s="2">
        <v>461669</v>
      </c>
      <c r="G37" s="2">
        <f t="shared" si="0"/>
        <v>-185320</v>
      </c>
      <c r="H37" s="2">
        <f t="shared" si="1"/>
        <v>-5709</v>
      </c>
      <c r="I37" s="2">
        <f t="shared" si="2"/>
        <v>-85015</v>
      </c>
      <c r="J37" s="2">
        <f t="shared" si="3"/>
        <v>-190903</v>
      </c>
    </row>
    <row r="38" spans="1:10">
      <c r="A38" s="17">
        <v>45691</v>
      </c>
      <c r="B38" s="5">
        <v>135987</v>
      </c>
      <c r="C38" s="5">
        <v>351556</v>
      </c>
      <c r="D38" s="2">
        <v>177554</v>
      </c>
      <c r="E38" s="2">
        <v>270766</v>
      </c>
      <c r="F38" s="2">
        <v>351556</v>
      </c>
      <c r="G38" s="2">
        <f t="shared" si="0"/>
        <v>173927</v>
      </c>
      <c r="H38" s="2">
        <f t="shared" si="1"/>
        <v>-129430</v>
      </c>
      <c r="I38" s="2">
        <f t="shared" si="2"/>
        <v>-50972</v>
      </c>
      <c r="J38" s="2">
        <f t="shared" si="3"/>
        <v>214514</v>
      </c>
    </row>
    <row r="39" spans="1:10">
      <c r="A39" s="17">
        <v>45698</v>
      </c>
      <c r="B39" s="5">
        <v>309914</v>
      </c>
      <c r="C39" s="5">
        <v>222126</v>
      </c>
      <c r="D39" s="2">
        <v>126582</v>
      </c>
      <c r="E39" s="2">
        <v>485280</v>
      </c>
      <c r="F39" s="2">
        <v>485280</v>
      </c>
      <c r="G39" s="2">
        <f t="shared" si="0"/>
        <v>-204947</v>
      </c>
      <c r="H39" s="2">
        <f t="shared" si="1"/>
        <v>231117</v>
      </c>
      <c r="I39" s="2">
        <f t="shared" si="2"/>
        <v>19026</v>
      </c>
      <c r="J39" s="2">
        <f t="shared" si="3"/>
        <v>-379300</v>
      </c>
    </row>
    <row r="40" spans="1:10">
      <c r="A40" s="17">
        <v>45705</v>
      </c>
      <c r="B40" s="5">
        <v>104967</v>
      </c>
      <c r="C40" s="5">
        <v>453243</v>
      </c>
      <c r="D40" s="2">
        <v>145608</v>
      </c>
      <c r="E40" s="2">
        <v>105980</v>
      </c>
      <c r="F40" s="2">
        <v>453243</v>
      </c>
      <c r="G40" s="2">
        <f t="shared" si="0"/>
        <v>125481</v>
      </c>
      <c r="H40" s="2">
        <f t="shared" si="1"/>
        <v>-326719</v>
      </c>
      <c r="I40" s="2">
        <f t="shared" si="2"/>
        <v>171399</v>
      </c>
      <c r="J40" s="2">
        <f t="shared" si="3"/>
        <v>358259</v>
      </c>
    </row>
    <row r="41" spans="1:10">
      <c r="A41" s="17">
        <v>45712</v>
      </c>
      <c r="B41" s="5">
        <v>230448</v>
      </c>
      <c r="C41" s="5">
        <v>126524</v>
      </c>
      <c r="D41" s="2">
        <v>317007</v>
      </c>
      <c r="E41" s="2">
        <v>464239</v>
      </c>
      <c r="F41" s="2">
        <v>464239</v>
      </c>
      <c r="G41" s="2">
        <f t="shared" si="0"/>
        <v>136433</v>
      </c>
      <c r="H41" s="2">
        <f t="shared" si="1"/>
        <v>131055</v>
      </c>
      <c r="I41" s="2">
        <f t="shared" si="2"/>
        <v>149568</v>
      </c>
      <c r="J41" s="2">
        <f t="shared" si="3"/>
        <v>-239705</v>
      </c>
    </row>
    <row r="42" spans="1:10">
      <c r="A42" s="17">
        <v>45719</v>
      </c>
      <c r="B42" s="5">
        <v>366881</v>
      </c>
      <c r="C42" s="5">
        <v>257579</v>
      </c>
      <c r="D42" s="2">
        <v>466575</v>
      </c>
      <c r="E42" s="2">
        <v>224534</v>
      </c>
      <c r="F42" s="2">
        <v>466575</v>
      </c>
      <c r="G42" s="2">
        <f t="shared" si="0"/>
        <v>-26039</v>
      </c>
      <c r="H42" s="2">
        <f t="shared" si="1"/>
        <v>204563</v>
      </c>
      <c r="I42" s="2">
        <f t="shared" si="2"/>
        <v>-454104</v>
      </c>
      <c r="J42" s="2">
        <f t="shared" si="3"/>
        <v>-126137</v>
      </c>
    </row>
    <row r="43" spans="1:10">
      <c r="A43" s="17">
        <v>45726</v>
      </c>
      <c r="B43" s="5">
        <v>340842</v>
      </c>
      <c r="C43" s="5">
        <v>462142</v>
      </c>
      <c r="D43" s="2">
        <v>12471</v>
      </c>
      <c r="E43" s="2">
        <v>98397</v>
      </c>
      <c r="F43" s="2">
        <v>462142</v>
      </c>
      <c r="G43" s="2">
        <f t="shared" si="0"/>
        <v>1287</v>
      </c>
      <c r="H43" s="2">
        <f t="shared" si="1"/>
        <v>-51812</v>
      </c>
      <c r="I43" s="2">
        <f t="shared" si="2"/>
        <v>-24</v>
      </c>
      <c r="J43" s="2">
        <f t="shared" si="3"/>
        <v>-81017</v>
      </c>
    </row>
    <row r="44" spans="1:10" s="41" customFormat="1">
      <c r="A44" s="39">
        <v>45733</v>
      </c>
      <c r="B44" s="40">
        <v>342129</v>
      </c>
      <c r="C44" s="40">
        <v>410330</v>
      </c>
      <c r="D44" s="40">
        <v>12447</v>
      </c>
      <c r="E44" s="40">
        <v>17380</v>
      </c>
      <c r="F44" s="40">
        <v>410330</v>
      </c>
      <c r="G44" s="40">
        <f t="shared" si="0"/>
        <v>31477</v>
      </c>
      <c r="H44" s="40">
        <f t="shared" si="1"/>
        <v>-45520</v>
      </c>
      <c r="I44" s="40">
        <f t="shared" si="2"/>
        <v>198643</v>
      </c>
      <c r="J44" s="40">
        <f t="shared" si="3"/>
        <v>424551</v>
      </c>
    </row>
    <row r="45" spans="1:10">
      <c r="A45" s="17">
        <v>45740</v>
      </c>
      <c r="B45" s="5">
        <v>373606</v>
      </c>
      <c r="C45" s="5">
        <v>364810</v>
      </c>
      <c r="D45" s="2">
        <v>211090</v>
      </c>
      <c r="E45" s="2">
        <v>441931</v>
      </c>
      <c r="F45" s="2">
        <v>441931</v>
      </c>
      <c r="G45" s="2">
        <f t="shared" si="0"/>
        <v>-3536</v>
      </c>
      <c r="H45" s="2">
        <f t="shared" si="1"/>
        <v>-82030</v>
      </c>
      <c r="I45" s="2">
        <f t="shared" si="2"/>
        <v>-12740</v>
      </c>
      <c r="J45" s="2">
        <f t="shared" si="3"/>
        <v>-6205</v>
      </c>
    </row>
    <row r="46" spans="1:10">
      <c r="A46" s="17">
        <v>45747</v>
      </c>
      <c r="B46" s="5">
        <v>370070</v>
      </c>
      <c r="C46" s="5">
        <v>282780</v>
      </c>
      <c r="D46" s="2">
        <v>198350</v>
      </c>
      <c r="E46" s="2">
        <v>435726</v>
      </c>
      <c r="F46" s="2">
        <v>435726</v>
      </c>
      <c r="G46" s="2">
        <f t="shared" si="0"/>
        <v>-271474</v>
      </c>
      <c r="H46" s="2">
        <f t="shared" si="1"/>
        <v>-203991</v>
      </c>
      <c r="I46" s="2">
        <f t="shared" si="2"/>
        <v>-168761</v>
      </c>
      <c r="J46" s="2">
        <f t="shared" si="3"/>
        <v>-145372</v>
      </c>
    </row>
    <row r="47" spans="1:10">
      <c r="A47" s="17">
        <v>45754</v>
      </c>
      <c r="B47" s="5">
        <v>98596</v>
      </c>
      <c r="C47" s="5">
        <v>78789</v>
      </c>
      <c r="D47" s="2">
        <v>29589</v>
      </c>
      <c r="E47" s="2">
        <v>290354</v>
      </c>
      <c r="F47" s="2">
        <v>290354</v>
      </c>
      <c r="G47" s="2">
        <f t="shared" si="0"/>
        <v>-27889</v>
      </c>
      <c r="H47" s="2">
        <f t="shared" si="1"/>
        <v>-12107</v>
      </c>
      <c r="I47" s="2">
        <f t="shared" si="2"/>
        <v>112918</v>
      </c>
      <c r="J47" s="2">
        <f t="shared" si="3"/>
        <v>79171</v>
      </c>
    </row>
    <row r="48" spans="1:10">
      <c r="A48" s="17">
        <v>45761</v>
      </c>
      <c r="B48" s="5">
        <v>70707</v>
      </c>
      <c r="C48" s="5">
        <v>66682</v>
      </c>
      <c r="D48" s="2">
        <v>142507</v>
      </c>
      <c r="E48" s="2">
        <v>369525</v>
      </c>
      <c r="F48" s="2">
        <v>369525</v>
      </c>
      <c r="G48" s="2">
        <f t="shared" si="0"/>
        <v>306675</v>
      </c>
      <c r="H48" s="2">
        <f t="shared" si="1"/>
        <v>-3740</v>
      </c>
      <c r="I48" s="2">
        <f t="shared" si="2"/>
        <v>191344</v>
      </c>
      <c r="J48" s="2">
        <f t="shared" si="3"/>
        <v>-98567</v>
      </c>
    </row>
    <row r="49" spans="1:10">
      <c r="A49" s="17">
        <v>45768</v>
      </c>
      <c r="B49" s="5">
        <v>377382</v>
      </c>
      <c r="C49" s="5">
        <v>62942</v>
      </c>
      <c r="D49" s="2">
        <v>333851</v>
      </c>
      <c r="E49" s="2">
        <v>270958</v>
      </c>
      <c r="F49" s="2">
        <v>377382</v>
      </c>
      <c r="G49" s="2">
        <f t="shared" si="0"/>
        <v>-152552</v>
      </c>
      <c r="H49" s="2">
        <f t="shared" si="1"/>
        <v>383002</v>
      </c>
      <c r="I49" s="2">
        <f t="shared" si="2"/>
        <v>153438</v>
      </c>
      <c r="J49" s="2">
        <f t="shared" si="3"/>
        <v>-259523</v>
      </c>
    </row>
    <row r="50" spans="1:10">
      <c r="A50" s="17">
        <v>45775</v>
      </c>
      <c r="B50" s="5">
        <v>224830</v>
      </c>
      <c r="C50" s="5">
        <v>445944</v>
      </c>
      <c r="D50" s="2">
        <v>487289</v>
      </c>
      <c r="E50" s="2">
        <v>11435</v>
      </c>
      <c r="F50" s="2">
        <v>487289</v>
      </c>
      <c r="G50" s="2">
        <f t="shared" si="0"/>
        <v>193866</v>
      </c>
      <c r="H50" s="2">
        <f t="shared" si="1"/>
        <v>1958</v>
      </c>
      <c r="I50" s="2">
        <f t="shared" si="2"/>
        <v>-2925</v>
      </c>
      <c r="J50" s="2">
        <f t="shared" si="3"/>
        <v>137042</v>
      </c>
    </row>
    <row r="51" spans="1:10">
      <c r="A51" s="17">
        <v>45782</v>
      </c>
      <c r="B51" s="5">
        <v>418696</v>
      </c>
      <c r="C51" s="5">
        <v>447902</v>
      </c>
      <c r="D51" s="2">
        <v>484364</v>
      </c>
      <c r="E51" s="2">
        <v>148477</v>
      </c>
      <c r="F51" s="2">
        <v>484364</v>
      </c>
      <c r="G51" s="2">
        <f t="shared" si="0"/>
        <v>-53876</v>
      </c>
      <c r="H51" s="2">
        <f t="shared" si="1"/>
        <v>20399</v>
      </c>
      <c r="I51" s="2">
        <f t="shared" si="2"/>
        <v>-28066</v>
      </c>
      <c r="J51" s="2">
        <f t="shared" si="3"/>
        <v>-65919</v>
      </c>
    </row>
    <row r="52" spans="1:10">
      <c r="A52" s="17">
        <v>45789</v>
      </c>
      <c r="B52" s="5">
        <v>364820</v>
      </c>
      <c r="C52" s="5">
        <v>468301</v>
      </c>
      <c r="D52" s="2">
        <v>456298</v>
      </c>
      <c r="E52" s="2">
        <v>82558</v>
      </c>
      <c r="F52" s="2">
        <v>468301</v>
      </c>
      <c r="G52" s="2">
        <f t="shared" si="0"/>
        <v>132162</v>
      </c>
      <c r="H52" s="2">
        <f t="shared" si="1"/>
        <v>20887</v>
      </c>
      <c r="I52" s="2">
        <f t="shared" si="2"/>
        <v>31598</v>
      </c>
      <c r="J52" s="2">
        <f t="shared" si="3"/>
        <v>406343</v>
      </c>
    </row>
    <row r="53" spans="1:10">
      <c r="A53" s="18" t="s">
        <v>12</v>
      </c>
      <c r="B53" s="5">
        <v>496982</v>
      </c>
      <c r="C53" s="5">
        <v>489188</v>
      </c>
      <c r="D53" s="2">
        <v>487896</v>
      </c>
      <c r="E53" s="2">
        <v>488901</v>
      </c>
      <c r="F53" s="2">
        <v>496982</v>
      </c>
      <c r="G53" s="2">
        <f t="shared" si="0"/>
        <v>-496982</v>
      </c>
      <c r="H53" s="2">
        <f t="shared" si="1"/>
        <v>-489188</v>
      </c>
      <c r="I53" s="2">
        <f t="shared" si="2"/>
        <v>-487896</v>
      </c>
      <c r="J53" s="2">
        <f t="shared" si="3"/>
        <v>-488901</v>
      </c>
    </row>
    <row r="54" spans="1:10">
      <c r="A54" s="4"/>
      <c r="B54" s="5"/>
      <c r="C54" s="5"/>
      <c r="D54" s="2"/>
      <c r="E54" s="2"/>
      <c r="F54" s="20"/>
    </row>
    <row r="55" spans="1:10">
      <c r="A55" s="4"/>
      <c r="B55" s="5"/>
      <c r="C55" s="5"/>
      <c r="D55" s="2"/>
      <c r="E55" s="2"/>
      <c r="F55" s="2"/>
    </row>
    <row r="56" spans="1:10">
      <c r="A56" s="4"/>
      <c r="B56" s="5"/>
      <c r="C56" s="5"/>
      <c r="D56" s="2"/>
      <c r="E56" s="2"/>
      <c r="F56" s="2"/>
    </row>
    <row r="57" spans="1:10">
      <c r="A57" s="4"/>
      <c r="B57" s="5"/>
      <c r="C57" s="5"/>
      <c r="D57" s="2"/>
      <c r="E57" s="2"/>
      <c r="F57" s="2"/>
    </row>
    <row r="58" spans="1:10">
      <c r="A58" s="4"/>
      <c r="B58" s="5"/>
      <c r="C58" s="5"/>
      <c r="D58" s="2"/>
      <c r="E58" s="2"/>
      <c r="F58" s="2"/>
    </row>
    <row r="59" spans="1:10">
      <c r="A59" s="4"/>
      <c r="B59" s="5"/>
      <c r="C59" s="5"/>
      <c r="D59" s="2"/>
      <c r="E59" s="2"/>
      <c r="F59" s="2"/>
    </row>
    <row r="60" spans="1:10">
      <c r="A60" s="4"/>
      <c r="B60" s="5"/>
      <c r="C60" s="5"/>
      <c r="D60" s="2"/>
      <c r="E60" s="2"/>
      <c r="F60" s="2"/>
    </row>
    <row r="61" spans="1:10">
      <c r="A61" s="4"/>
      <c r="B61" s="5"/>
      <c r="C61" s="5"/>
      <c r="D61" s="2"/>
      <c r="E61" s="2"/>
      <c r="F61" s="2"/>
    </row>
    <row r="62" spans="1:10">
      <c r="A62" s="4"/>
      <c r="B62" s="5"/>
      <c r="C62" s="5"/>
      <c r="D62" s="2"/>
      <c r="E62" s="2"/>
      <c r="F62" s="2"/>
    </row>
    <row r="63" spans="1:10">
      <c r="A63" s="4"/>
      <c r="B63" s="5"/>
      <c r="C63" s="5"/>
      <c r="D63" s="2"/>
      <c r="E63" s="2"/>
      <c r="F63" s="2"/>
    </row>
    <row r="64" spans="1:10">
      <c r="A64" s="4"/>
      <c r="B64" s="5"/>
      <c r="C64" s="5"/>
      <c r="D64" s="2"/>
      <c r="E64" s="2"/>
      <c r="F64" s="2"/>
    </row>
    <row r="65" spans="1:6">
      <c r="A65" s="4"/>
      <c r="B65" s="5"/>
      <c r="C65" s="5"/>
      <c r="D65" s="2"/>
      <c r="E65" s="2"/>
      <c r="F65" s="2"/>
    </row>
    <row r="66" spans="1:6">
      <c r="A66" s="4"/>
      <c r="B66" s="5"/>
      <c r="C66" s="5"/>
      <c r="D66" s="2"/>
      <c r="E66" s="2"/>
      <c r="F66" s="2"/>
    </row>
    <row r="67" spans="1:6">
      <c r="A67" s="4"/>
      <c r="B67" s="5"/>
      <c r="C67" s="5"/>
      <c r="D67" s="2"/>
      <c r="E67" s="2"/>
      <c r="F67" s="2"/>
    </row>
    <row r="68" spans="1:6">
      <c r="A68" s="4"/>
      <c r="B68" s="5"/>
      <c r="C68" s="5"/>
      <c r="D68" s="2"/>
      <c r="E68" s="2"/>
      <c r="F68" s="2"/>
    </row>
    <row r="69" spans="1:6">
      <c r="A69" s="4"/>
      <c r="B69" s="5"/>
      <c r="C69" s="5"/>
      <c r="D69" s="2"/>
      <c r="E69" s="2"/>
      <c r="F69" s="2"/>
    </row>
    <row r="70" spans="1:6">
      <c r="A70" s="4"/>
      <c r="B70" s="5"/>
      <c r="C70" s="5"/>
      <c r="D70" s="2"/>
      <c r="E70" s="2"/>
      <c r="F70" s="2"/>
    </row>
    <row r="71" spans="1:6">
      <c r="A71" s="4"/>
      <c r="B71" s="5"/>
      <c r="C71" s="5"/>
      <c r="D71" s="2"/>
      <c r="E71" s="2"/>
      <c r="F71" s="2"/>
    </row>
    <row r="72" spans="1:6">
      <c r="A72" s="4"/>
      <c r="B72" s="5"/>
      <c r="C72" s="5"/>
      <c r="D72" s="2"/>
      <c r="E72" s="2"/>
      <c r="F72" s="2"/>
    </row>
    <row r="73" spans="1:6">
      <c r="A73" s="4"/>
      <c r="B73" s="5"/>
      <c r="C73" s="5"/>
      <c r="D73" s="2"/>
      <c r="E73" s="2"/>
      <c r="F73" s="2"/>
    </row>
    <row r="74" spans="1:6">
      <c r="A74" s="4"/>
      <c r="B74" s="5"/>
      <c r="C74" s="5"/>
      <c r="D74" s="2"/>
      <c r="E74" s="2"/>
      <c r="F74" s="2"/>
    </row>
    <row r="75" spans="1:6">
      <c r="A75" s="4"/>
      <c r="B75" s="5"/>
      <c r="C75" s="5"/>
      <c r="D75" s="2"/>
      <c r="E75" s="2"/>
      <c r="F75" s="2"/>
    </row>
    <row r="76" spans="1:6">
      <c r="A76" s="4"/>
      <c r="B76" s="5"/>
      <c r="C76" s="5"/>
      <c r="D76" s="2"/>
      <c r="E76" s="2"/>
      <c r="F76" s="2"/>
    </row>
    <row r="77" spans="1:6">
      <c r="A77" s="4"/>
      <c r="B77" s="5"/>
      <c r="C77" s="5"/>
      <c r="D77" s="2"/>
      <c r="E77" s="2"/>
      <c r="F77" s="2"/>
    </row>
    <row r="78" spans="1:6">
      <c r="A78" s="4"/>
      <c r="B78" s="5"/>
      <c r="C78" s="5"/>
      <c r="D78" s="2"/>
      <c r="E78" s="2"/>
      <c r="F78" s="2"/>
    </row>
    <row r="79" spans="1:6">
      <c r="A79" s="4"/>
      <c r="B79" s="5"/>
      <c r="C79" s="5"/>
      <c r="D79" s="2"/>
      <c r="E79" s="2"/>
      <c r="F79" s="2"/>
    </row>
    <row r="80" spans="1:6">
      <c r="A80" s="4"/>
      <c r="B80" s="5"/>
      <c r="C80" s="5"/>
      <c r="D80" s="2"/>
      <c r="E80" s="2"/>
      <c r="F80" s="2"/>
    </row>
    <row r="81" spans="1:6">
      <c r="A81" s="4"/>
      <c r="B81" s="5"/>
      <c r="C81" s="5"/>
      <c r="D81" s="2"/>
      <c r="E81" s="2"/>
      <c r="F81" s="2"/>
    </row>
    <row r="82" spans="1:6">
      <c r="A82" s="4"/>
      <c r="B82" s="5"/>
      <c r="C82" s="5"/>
      <c r="D82" s="2"/>
      <c r="E82" s="2"/>
      <c r="F82" s="2"/>
    </row>
    <row r="83" spans="1:6">
      <c r="A83" s="4"/>
      <c r="B83" s="5"/>
      <c r="C83" s="5"/>
      <c r="D83" s="2"/>
      <c r="E83" s="2"/>
      <c r="F83" s="2"/>
    </row>
    <row r="84" spans="1:6">
      <c r="A84" s="4"/>
      <c r="B84" s="5"/>
      <c r="C84" s="5"/>
      <c r="D84" s="2"/>
      <c r="E84" s="2"/>
      <c r="F84" s="2"/>
    </row>
    <row r="85" spans="1:6">
      <c r="A85" s="4"/>
      <c r="B85" s="5"/>
      <c r="C85" s="5"/>
      <c r="D85" s="2"/>
      <c r="E85" s="2"/>
      <c r="F85" s="2"/>
    </row>
    <row r="86" spans="1:6">
      <c r="A86" s="4"/>
      <c r="B86" s="5"/>
      <c r="C86" s="5"/>
      <c r="D86" s="2"/>
      <c r="E86" s="2"/>
      <c r="F86" s="2"/>
    </row>
    <row r="87" spans="1:6">
      <c r="A87" s="4"/>
      <c r="B87" s="5"/>
      <c r="C87" s="5"/>
      <c r="D87" s="2"/>
      <c r="E87" s="2"/>
      <c r="F87" s="2"/>
    </row>
    <row r="88" spans="1:6">
      <c r="A88" s="4"/>
      <c r="B88" s="5"/>
      <c r="C88" s="5"/>
      <c r="D88" s="2"/>
      <c r="E88" s="2"/>
      <c r="F88" s="2"/>
    </row>
    <row r="89" spans="1:6">
      <c r="A89" s="4"/>
      <c r="B89" s="5"/>
      <c r="C89" s="5"/>
      <c r="D89" s="2"/>
      <c r="E89" s="2"/>
      <c r="F89" s="2"/>
    </row>
    <row r="90" spans="1:6">
      <c r="A90" s="4"/>
      <c r="B90" s="5"/>
      <c r="C90" s="5"/>
      <c r="D90" s="2"/>
      <c r="E90" s="2"/>
      <c r="F90" s="2"/>
    </row>
    <row r="91" spans="1:6">
      <c r="A91" s="4"/>
      <c r="B91" s="5"/>
      <c r="C91" s="5"/>
      <c r="D91" s="2"/>
      <c r="E91" s="2"/>
      <c r="F91" s="2"/>
    </row>
    <row r="92" spans="1:6">
      <c r="A92" s="4"/>
      <c r="B92" s="5"/>
      <c r="C92" s="5"/>
      <c r="D92" s="2"/>
      <c r="E92" s="2"/>
      <c r="F92" s="2"/>
    </row>
    <row r="93" spans="1:6">
      <c r="A93" s="4"/>
      <c r="B93" s="5"/>
      <c r="C93" s="5"/>
      <c r="D93" s="2"/>
      <c r="E93" s="2"/>
      <c r="F93" s="2"/>
    </row>
    <row r="94" spans="1:6">
      <c r="A94" s="4"/>
      <c r="B94" s="5"/>
      <c r="C94" s="5"/>
      <c r="D94" s="2"/>
      <c r="E94" s="2"/>
      <c r="F94" s="2"/>
    </row>
    <row r="95" spans="1:6">
      <c r="A95" s="4"/>
      <c r="B95" s="5"/>
      <c r="C95" s="5"/>
      <c r="D95" s="2"/>
      <c r="E95" s="2"/>
      <c r="F95" s="2"/>
    </row>
    <row r="96" spans="1:6">
      <c r="A96" s="4"/>
      <c r="B96" s="5"/>
      <c r="C96" s="5"/>
      <c r="D96" s="2"/>
      <c r="E96" s="2"/>
      <c r="F96" s="2"/>
    </row>
    <row r="97" spans="1:6">
      <c r="A97" s="4"/>
      <c r="B97" s="5"/>
      <c r="C97" s="5"/>
      <c r="D97" s="2"/>
      <c r="E97" s="2"/>
      <c r="F97" s="2"/>
    </row>
    <row r="98" spans="1:6">
      <c r="A98" s="4"/>
      <c r="B98" s="5"/>
      <c r="C98" s="5"/>
      <c r="D98" s="2"/>
      <c r="E98" s="2"/>
      <c r="F98" s="2"/>
    </row>
    <row r="99" spans="1:6">
      <c r="A99" s="4"/>
      <c r="B99" s="5"/>
      <c r="C99" s="5"/>
      <c r="D99" s="2"/>
      <c r="E99" s="2"/>
      <c r="F99" s="2"/>
    </row>
    <row r="100" spans="1:6">
      <c r="A100" s="4"/>
      <c r="B100" s="5"/>
      <c r="C100" s="5"/>
      <c r="D100" s="2"/>
      <c r="E100" s="2"/>
      <c r="F100" s="2"/>
    </row>
    <row r="101" spans="1:6">
      <c r="A101" s="4"/>
      <c r="B101" s="5"/>
      <c r="C101" s="5"/>
      <c r="D101" s="2"/>
      <c r="E101" s="2"/>
      <c r="F101" s="2"/>
    </row>
    <row r="102" spans="1:6">
      <c r="A102" s="4"/>
      <c r="B102" s="5"/>
      <c r="C102" s="5"/>
      <c r="D102" s="2"/>
      <c r="E102" s="2"/>
      <c r="F102" s="2"/>
    </row>
    <row r="103" spans="1:6">
      <c r="A103" s="4"/>
      <c r="B103" s="5"/>
      <c r="C103" s="5"/>
      <c r="D103" s="2"/>
      <c r="E103" s="2"/>
      <c r="F103" s="2"/>
    </row>
    <row r="104" spans="1:6">
      <c r="A104" s="4"/>
      <c r="B104" s="5"/>
      <c r="C104" s="5"/>
      <c r="D104" s="2"/>
      <c r="E104" s="2"/>
      <c r="F104" s="2"/>
    </row>
    <row r="105" spans="1:6">
      <c r="A105" s="4"/>
      <c r="B105" s="5"/>
      <c r="C105" s="5"/>
      <c r="D105" s="2"/>
      <c r="E105" s="2"/>
      <c r="F105" s="2"/>
    </row>
    <row r="106" spans="1:6">
      <c r="A106" s="4"/>
      <c r="B106" s="5"/>
      <c r="C106" s="5"/>
      <c r="D106" s="2"/>
      <c r="E106" s="2"/>
      <c r="F106" s="2"/>
    </row>
    <row r="107" spans="1:6">
      <c r="A107" s="4"/>
      <c r="B107" s="5"/>
      <c r="C107" s="5"/>
      <c r="D107" s="2"/>
      <c r="E107" s="2"/>
      <c r="F107" s="2"/>
    </row>
    <row r="108" spans="1:6">
      <c r="A108" s="4"/>
      <c r="B108" s="5"/>
      <c r="C108" s="5"/>
      <c r="D108" s="2"/>
      <c r="E108" s="2"/>
      <c r="F108" s="2"/>
    </row>
    <row r="109" spans="1:6">
      <c r="A109" s="4"/>
      <c r="B109" s="5"/>
      <c r="C109" s="5"/>
      <c r="D109" s="2"/>
      <c r="E109" s="2"/>
      <c r="F109" s="2"/>
    </row>
    <row r="110" spans="1:6">
      <c r="A110" s="4"/>
      <c r="B110" s="5"/>
      <c r="C110" s="5"/>
      <c r="D110" s="2"/>
      <c r="E110" s="2"/>
      <c r="F110" s="2"/>
    </row>
    <row r="111" spans="1:6">
      <c r="A111" s="4"/>
      <c r="B111" s="5"/>
      <c r="C111" s="5"/>
      <c r="D111" s="2"/>
      <c r="E111" s="2"/>
      <c r="F111" s="2"/>
    </row>
    <row r="112" spans="1:6">
      <c r="A112" s="4"/>
      <c r="B112" s="5"/>
      <c r="C112" s="5"/>
      <c r="D112" s="2"/>
      <c r="E112" s="2"/>
      <c r="F112" s="2"/>
    </row>
    <row r="113" spans="1:6">
      <c r="A113" s="4"/>
      <c r="B113" s="5"/>
      <c r="C113" s="5"/>
      <c r="D113" s="2"/>
      <c r="E113" s="2"/>
      <c r="F113" s="2"/>
    </row>
    <row r="114" spans="1:6">
      <c r="A114" s="4"/>
      <c r="B114" s="5"/>
      <c r="C114" s="5"/>
      <c r="D114" s="2"/>
      <c r="E114" s="2"/>
      <c r="F114" s="2"/>
    </row>
    <row r="115" spans="1:6">
      <c r="A115" s="4"/>
      <c r="B115" s="5"/>
      <c r="C115" s="5"/>
      <c r="D115" s="2"/>
      <c r="E115" s="2"/>
      <c r="F115" s="2"/>
    </row>
    <row r="116" spans="1:6">
      <c r="A116" s="4"/>
      <c r="B116" s="5"/>
      <c r="C116" s="5"/>
      <c r="D116" s="2"/>
      <c r="E116" s="2"/>
      <c r="F116" s="2"/>
    </row>
    <row r="117" spans="1:6">
      <c r="A117" s="4"/>
      <c r="B117" s="5"/>
      <c r="C117" s="5"/>
      <c r="D117" s="2"/>
      <c r="E117" s="2"/>
      <c r="F117" s="2"/>
    </row>
    <row r="118" spans="1:6">
      <c r="A118" s="4"/>
      <c r="B118" s="5"/>
      <c r="C118" s="5"/>
      <c r="D118" s="2"/>
      <c r="E118" s="2"/>
      <c r="F118" s="2"/>
    </row>
    <row r="119" spans="1:6">
      <c r="A119" s="4"/>
      <c r="B119" s="5"/>
      <c r="C119" s="5"/>
      <c r="D119" s="2"/>
      <c r="E119" s="2"/>
      <c r="F119" s="2"/>
    </row>
    <row r="120" spans="1:6">
      <c r="A120" s="4"/>
      <c r="B120" s="5"/>
      <c r="C120" s="5"/>
      <c r="D120" s="2"/>
      <c r="E120" s="2"/>
      <c r="F120" s="2"/>
    </row>
    <row r="121" spans="1:6">
      <c r="A121" s="4"/>
      <c r="B121" s="5"/>
      <c r="C121" s="5"/>
      <c r="D121" s="2"/>
      <c r="E121" s="2"/>
      <c r="F121" s="2"/>
    </row>
    <row r="122" spans="1:6">
      <c r="A122" s="4"/>
      <c r="B122" s="5"/>
      <c r="C122" s="5"/>
      <c r="D122" s="2"/>
      <c r="E122" s="2"/>
      <c r="F122" s="2"/>
    </row>
    <row r="123" spans="1:6">
      <c r="A123" s="4"/>
      <c r="B123" s="5"/>
      <c r="C123" s="5"/>
      <c r="D123" s="2"/>
      <c r="E123" s="2"/>
      <c r="F123" s="2"/>
    </row>
    <row r="124" spans="1:6">
      <c r="A124" s="4"/>
      <c r="B124" s="5"/>
      <c r="C124" s="5"/>
      <c r="D124" s="2"/>
      <c r="E124" s="2"/>
      <c r="F124" s="2"/>
    </row>
    <row r="125" spans="1:6">
      <c r="A125" s="4"/>
      <c r="B125" s="5"/>
      <c r="C125" s="5"/>
      <c r="D125" s="2"/>
      <c r="E125" s="2"/>
      <c r="F125" s="2"/>
    </row>
    <row r="126" spans="1:6">
      <c r="A126" s="4"/>
      <c r="B126" s="5"/>
      <c r="C126" s="5"/>
      <c r="D126" s="2"/>
      <c r="E126" s="2"/>
      <c r="F126" s="2"/>
    </row>
    <row r="127" spans="1:6">
      <c r="A127" s="4"/>
      <c r="B127" s="5"/>
      <c r="C127" s="5"/>
      <c r="D127" s="2"/>
      <c r="E127" s="2"/>
      <c r="F127" s="2"/>
    </row>
    <row r="128" spans="1:6">
      <c r="A128" s="4"/>
      <c r="B128" s="5"/>
      <c r="C128" s="5"/>
      <c r="D128" s="2"/>
      <c r="E128" s="2"/>
      <c r="F128" s="2"/>
    </row>
    <row r="129" spans="1:6">
      <c r="A129" s="4"/>
      <c r="B129" s="5"/>
      <c r="C129" s="5"/>
      <c r="D129" s="2"/>
      <c r="E129" s="2"/>
      <c r="F129" s="2"/>
    </row>
    <row r="130" spans="1:6">
      <c r="A130" s="4"/>
      <c r="B130" s="5"/>
      <c r="C130" s="5"/>
      <c r="D130" s="2"/>
      <c r="E130" s="2"/>
      <c r="F130" s="2"/>
    </row>
    <row r="131" spans="1:6">
      <c r="A131" s="4"/>
      <c r="B131" s="5"/>
      <c r="C131" s="5"/>
      <c r="D131" s="2"/>
      <c r="E131" s="2"/>
      <c r="F131" s="2"/>
    </row>
    <row r="132" spans="1:6">
      <c r="A132" s="4"/>
      <c r="B132" s="5"/>
      <c r="C132" s="5"/>
      <c r="D132" s="2"/>
      <c r="E132" s="2"/>
      <c r="F132" s="2"/>
    </row>
    <row r="133" spans="1:6">
      <c r="A133" s="4"/>
      <c r="B133" s="5"/>
      <c r="C133" s="5"/>
      <c r="D133" s="2"/>
      <c r="E133" s="2"/>
      <c r="F133" s="2"/>
    </row>
    <row r="134" spans="1:6">
      <c r="A134" s="4"/>
      <c r="B134" s="5"/>
      <c r="C134" s="5"/>
      <c r="D134" s="2"/>
      <c r="E134" s="2"/>
      <c r="F134" s="2"/>
    </row>
    <row r="135" spans="1:6">
      <c r="A135" s="4"/>
      <c r="B135" s="5"/>
      <c r="C135" s="5"/>
      <c r="D135" s="2"/>
      <c r="E135" s="2"/>
      <c r="F135" s="2"/>
    </row>
    <row r="136" spans="1:6">
      <c r="A136" s="4"/>
      <c r="B136" s="5"/>
      <c r="C136" s="5"/>
      <c r="D136" s="2"/>
      <c r="E136" s="2"/>
      <c r="F136" s="2"/>
    </row>
    <row r="137" spans="1:6">
      <c r="A137" s="4"/>
      <c r="B137" s="5"/>
      <c r="C137" s="5"/>
      <c r="D137" s="2"/>
      <c r="E137" s="2"/>
      <c r="F137" s="2"/>
    </row>
    <row r="138" spans="1:6">
      <c r="A138" s="4"/>
      <c r="B138" s="5"/>
      <c r="C138" s="5"/>
      <c r="D138" s="2"/>
      <c r="E138" s="2"/>
      <c r="F138" s="2"/>
    </row>
    <row r="139" spans="1:6">
      <c r="A139" s="4"/>
      <c r="B139" s="5"/>
      <c r="C139" s="5"/>
      <c r="D139" s="2"/>
      <c r="E139" s="2"/>
      <c r="F139" s="2"/>
    </row>
    <row r="140" spans="1:6">
      <c r="A140" s="4"/>
      <c r="B140" s="5"/>
      <c r="C140" s="5"/>
      <c r="D140" s="2"/>
      <c r="E140" s="2"/>
      <c r="F140" s="2"/>
    </row>
    <row r="141" spans="1:6">
      <c r="A141" s="4"/>
      <c r="B141" s="5"/>
      <c r="C141" s="5"/>
      <c r="D141" s="2"/>
      <c r="E141" s="2"/>
      <c r="F141" s="2"/>
    </row>
    <row r="142" spans="1:6">
      <c r="A142" s="4"/>
      <c r="B142" s="5"/>
      <c r="C142" s="5"/>
      <c r="D142" s="2"/>
      <c r="E142" s="2"/>
      <c r="F142" s="2"/>
    </row>
    <row r="143" spans="1:6">
      <c r="A143" s="4"/>
      <c r="B143" s="5"/>
      <c r="C143" s="5"/>
      <c r="D143" s="2"/>
      <c r="E143" s="2"/>
      <c r="F143" s="2"/>
    </row>
    <row r="144" spans="1:6">
      <c r="A144" s="4"/>
      <c r="B144" s="5"/>
      <c r="C144" s="5"/>
      <c r="D144" s="2"/>
      <c r="E144" s="2"/>
      <c r="F144" s="2"/>
    </row>
    <row r="145" spans="1:6">
      <c r="A145" s="4"/>
      <c r="B145" s="5"/>
      <c r="C145" s="5"/>
      <c r="D145" s="2"/>
      <c r="E145" s="2"/>
      <c r="F145" s="2"/>
    </row>
    <row r="146" spans="1:6">
      <c r="A146" s="4"/>
      <c r="B146" s="5"/>
      <c r="C146" s="5"/>
      <c r="D146" s="2"/>
      <c r="E146" s="2"/>
      <c r="F146" s="2"/>
    </row>
    <row r="147" spans="1:6">
      <c r="A147" s="4"/>
      <c r="B147" s="5"/>
      <c r="C147" s="5"/>
      <c r="D147" s="2"/>
      <c r="E147" s="2"/>
      <c r="F147" s="2"/>
    </row>
    <row r="148" spans="1:6">
      <c r="A148" s="4"/>
      <c r="B148" s="5"/>
      <c r="C148" s="5"/>
      <c r="D148" s="2"/>
      <c r="E148" s="2"/>
      <c r="F148" s="2"/>
    </row>
    <row r="149" spans="1:6">
      <c r="A149" s="4"/>
      <c r="B149" s="5"/>
      <c r="C149" s="5"/>
      <c r="D149" s="2"/>
      <c r="E149" s="2"/>
      <c r="F149" s="2"/>
    </row>
    <row r="150" spans="1:6">
      <c r="A150" s="4"/>
      <c r="B150" s="5"/>
      <c r="C150" s="5"/>
      <c r="D150" s="2"/>
      <c r="E150" s="2"/>
      <c r="F150" s="2"/>
    </row>
    <row r="151" spans="1:6">
      <c r="A151" s="4"/>
      <c r="B151" s="5"/>
      <c r="C151" s="5"/>
      <c r="D151" s="2"/>
      <c r="E151" s="2"/>
      <c r="F151" s="2"/>
    </row>
    <row r="152" spans="1:6">
      <c r="A152" s="4"/>
      <c r="B152" s="5"/>
      <c r="C152" s="5"/>
      <c r="D152" s="2"/>
      <c r="E152" s="2"/>
      <c r="F152" s="2"/>
    </row>
    <row r="153" spans="1:6">
      <c r="A153" s="4"/>
      <c r="B153" s="5"/>
      <c r="C153" s="5"/>
      <c r="D153" s="2"/>
      <c r="E153" s="2"/>
      <c r="F153" s="2"/>
    </row>
    <row r="154" spans="1:6">
      <c r="A154" s="4"/>
      <c r="B154" s="5"/>
      <c r="C154" s="5"/>
      <c r="D154" s="2"/>
      <c r="E154" s="2"/>
      <c r="F154" s="2"/>
    </row>
    <row r="155" spans="1:6">
      <c r="A155" s="4"/>
      <c r="B155" s="5"/>
      <c r="C155" s="5"/>
      <c r="D155" s="2"/>
      <c r="E155" s="2"/>
      <c r="F155" s="2"/>
    </row>
    <row r="156" spans="1:6">
      <c r="A156" s="4"/>
      <c r="B156" s="5"/>
      <c r="C156" s="5"/>
      <c r="D156" s="2"/>
      <c r="E156" s="2"/>
      <c r="F156" s="2"/>
    </row>
    <row r="157" spans="1:6">
      <c r="A157" s="4"/>
      <c r="B157" s="5"/>
      <c r="C157" s="5"/>
      <c r="D157" s="2"/>
      <c r="E157" s="2"/>
      <c r="F157" s="2"/>
    </row>
    <row r="158" spans="1:6">
      <c r="A158" s="4"/>
      <c r="B158" s="5"/>
      <c r="C158" s="5"/>
      <c r="D158" s="2"/>
      <c r="E158" s="2"/>
      <c r="F158" s="2"/>
    </row>
    <row r="159" spans="1:6">
      <c r="A159" s="4"/>
      <c r="B159" s="5"/>
      <c r="C159" s="5"/>
      <c r="D159" s="2"/>
      <c r="E159" s="2"/>
      <c r="F159" s="2"/>
    </row>
    <row r="160" spans="1:6">
      <c r="A160" s="4"/>
      <c r="B160" s="5"/>
      <c r="C160" s="5"/>
      <c r="D160" s="2"/>
      <c r="E160" s="2"/>
      <c r="F160" s="2"/>
    </row>
    <row r="161" spans="1:6">
      <c r="A161" s="4"/>
      <c r="B161" s="5"/>
      <c r="C161" s="5"/>
      <c r="D161" s="2"/>
      <c r="E161" s="2"/>
      <c r="F161" s="2"/>
    </row>
    <row r="162" spans="1:6">
      <c r="A162" s="4"/>
      <c r="B162" s="5"/>
      <c r="C162" s="5"/>
      <c r="D162" s="2"/>
      <c r="E162" s="2"/>
      <c r="F162" s="2"/>
    </row>
    <row r="163" spans="1:6">
      <c r="A163" s="4"/>
      <c r="B163" s="5"/>
      <c r="C163" s="5"/>
      <c r="D163" s="2"/>
      <c r="E163" s="2"/>
      <c r="F163" s="2"/>
    </row>
    <row r="164" spans="1:6">
      <c r="A164" s="4"/>
      <c r="B164" s="5"/>
      <c r="C164" s="5"/>
      <c r="D164" s="2"/>
      <c r="E164" s="2"/>
      <c r="F164" s="2"/>
    </row>
    <row r="165" spans="1:6">
      <c r="A165" s="4"/>
      <c r="B165" s="5"/>
      <c r="C165" s="5"/>
      <c r="D165" s="2"/>
      <c r="E165" s="2"/>
      <c r="F165" s="2"/>
    </row>
    <row r="166" spans="1:6">
      <c r="A166" s="4"/>
      <c r="B166" s="5"/>
      <c r="C166" s="5"/>
      <c r="D166" s="2"/>
      <c r="E166" s="2"/>
      <c r="F166" s="2"/>
    </row>
    <row r="167" spans="1:6">
      <c r="A167" s="4"/>
      <c r="B167" s="5"/>
      <c r="C167" s="5"/>
      <c r="D167" s="2"/>
      <c r="E167" s="2"/>
      <c r="F167" s="2"/>
    </row>
    <row r="168" spans="1:6">
      <c r="A168" s="4"/>
      <c r="B168" s="5"/>
      <c r="C168" s="5"/>
      <c r="D168" s="2"/>
      <c r="E168" s="2"/>
      <c r="F168" s="2"/>
    </row>
    <row r="169" spans="1:6">
      <c r="A169" s="4"/>
      <c r="B169" s="5"/>
      <c r="C169" s="5"/>
      <c r="D169" s="2"/>
      <c r="E169" s="2"/>
      <c r="F169" s="2"/>
    </row>
    <row r="170" spans="1:6">
      <c r="A170" s="4"/>
      <c r="B170" s="5"/>
      <c r="C170" s="5"/>
      <c r="D170" s="2"/>
      <c r="E170" s="2"/>
      <c r="F170" s="2"/>
    </row>
    <row r="171" spans="1:6">
      <c r="A171" s="4"/>
      <c r="B171" s="5"/>
      <c r="C171" s="5"/>
      <c r="D171" s="2"/>
      <c r="E171" s="2"/>
      <c r="F171" s="2"/>
    </row>
    <row r="172" spans="1:6">
      <c r="A172" s="4"/>
      <c r="B172" s="5"/>
      <c r="C172" s="5"/>
      <c r="D172" s="2"/>
      <c r="E172" s="2"/>
      <c r="F172" s="2"/>
    </row>
    <row r="173" spans="1:6">
      <c r="A173" s="4"/>
      <c r="B173" s="5"/>
      <c r="C173" s="5"/>
      <c r="D173" s="2"/>
      <c r="E173" s="2"/>
      <c r="F173" s="2"/>
    </row>
    <row r="174" spans="1:6">
      <c r="A174" s="4"/>
      <c r="B174" s="5"/>
      <c r="C174" s="5"/>
      <c r="D174" s="2"/>
      <c r="E174" s="2"/>
      <c r="F174" s="2"/>
    </row>
    <row r="175" spans="1:6">
      <c r="A175" s="4"/>
      <c r="B175" s="5"/>
      <c r="C175" s="5"/>
      <c r="D175" s="2"/>
      <c r="E175" s="2"/>
      <c r="F175" s="2"/>
    </row>
    <row r="176" spans="1:6">
      <c r="A176" s="4"/>
      <c r="B176" s="5"/>
      <c r="C176" s="5"/>
      <c r="D176" s="2"/>
      <c r="E176" s="2"/>
      <c r="F176" s="2"/>
    </row>
    <row r="177" spans="1:6">
      <c r="A177" s="4"/>
      <c r="B177" s="5"/>
      <c r="C177" s="5"/>
      <c r="D177" s="2"/>
      <c r="E177" s="2"/>
      <c r="F177" s="2"/>
    </row>
    <row r="178" spans="1:6">
      <c r="A178" s="4"/>
      <c r="B178" s="5"/>
      <c r="C178" s="5"/>
      <c r="D178" s="2"/>
      <c r="E178" s="2"/>
      <c r="F178" s="2"/>
    </row>
    <row r="179" spans="1:6">
      <c r="A179" s="4"/>
      <c r="B179" s="5"/>
      <c r="C179" s="5"/>
      <c r="D179" s="2"/>
      <c r="E179" s="2"/>
      <c r="F179" s="2"/>
    </row>
    <row r="180" spans="1:6">
      <c r="A180" s="4"/>
      <c r="B180" s="5"/>
      <c r="C180" s="5"/>
      <c r="D180" s="2"/>
      <c r="E180" s="2"/>
      <c r="F180" s="2"/>
    </row>
    <row r="181" spans="1:6">
      <c r="A181" s="4"/>
      <c r="B181" s="5"/>
      <c r="C181" s="5"/>
      <c r="D181" s="2"/>
      <c r="E181" s="2"/>
      <c r="F181" s="2"/>
    </row>
    <row r="182" spans="1:6">
      <c r="A182" s="4"/>
      <c r="B182" s="5"/>
      <c r="C182" s="5"/>
      <c r="D182" s="2"/>
      <c r="E182" s="2"/>
      <c r="F182" s="2"/>
    </row>
    <row r="183" spans="1:6">
      <c r="A183" s="4"/>
      <c r="B183" s="5"/>
      <c r="C183" s="5"/>
      <c r="D183" s="2"/>
      <c r="E183" s="2"/>
      <c r="F183" s="2"/>
    </row>
    <row r="184" spans="1:6">
      <c r="A184" s="4"/>
      <c r="B184" s="5"/>
      <c r="C184" s="5"/>
      <c r="D184" s="2"/>
      <c r="E184" s="2"/>
      <c r="F184" s="2"/>
    </row>
    <row r="185" spans="1:6">
      <c r="A185" s="4"/>
      <c r="B185" s="5"/>
      <c r="C185" s="5"/>
      <c r="D185" s="2"/>
      <c r="E185" s="2"/>
      <c r="F185" s="2"/>
    </row>
    <row r="186" spans="1:6">
      <c r="A186" s="4"/>
      <c r="B186" s="5"/>
      <c r="C186" s="5"/>
      <c r="D186" s="2"/>
      <c r="E186" s="2"/>
      <c r="F186" s="2"/>
    </row>
    <row r="187" spans="1:6">
      <c r="A187" s="4"/>
      <c r="B187" s="5"/>
      <c r="C187" s="5"/>
      <c r="D187" s="2"/>
      <c r="E187" s="2"/>
      <c r="F187" s="2"/>
    </row>
    <row r="188" spans="1:6">
      <c r="A188" s="4"/>
      <c r="B188" s="5"/>
      <c r="C188" s="5"/>
      <c r="D188" s="2"/>
      <c r="E188" s="2"/>
      <c r="F188" s="2"/>
    </row>
    <row r="189" spans="1:6">
      <c r="A189" s="4"/>
      <c r="B189" s="5"/>
      <c r="C189" s="5"/>
      <c r="D189" s="2"/>
      <c r="E189" s="2"/>
      <c r="F189" s="2"/>
    </row>
    <row r="190" spans="1:6">
      <c r="A190" s="4"/>
      <c r="B190" s="5"/>
      <c r="C190" s="5"/>
      <c r="D190" s="2"/>
      <c r="E190" s="2"/>
      <c r="F190" s="2"/>
    </row>
    <row r="191" spans="1:6">
      <c r="A191" s="4"/>
      <c r="B191" s="5"/>
      <c r="C191" s="5"/>
      <c r="D191" s="2"/>
      <c r="E191" s="2"/>
      <c r="F191" s="2"/>
    </row>
    <row r="192" spans="1:6">
      <c r="A192" s="4"/>
      <c r="B192" s="5"/>
      <c r="C192" s="5"/>
      <c r="D192" s="2"/>
      <c r="E192" s="2"/>
      <c r="F192" s="2"/>
    </row>
    <row r="193" spans="1:6">
      <c r="A193" s="4"/>
      <c r="B193" s="5"/>
      <c r="C193" s="5"/>
      <c r="D193" s="2"/>
      <c r="E193" s="2"/>
      <c r="F193" s="2"/>
    </row>
    <row r="194" spans="1:6">
      <c r="A194" s="4"/>
      <c r="B194" s="5"/>
      <c r="C194" s="5"/>
      <c r="D194" s="2"/>
      <c r="E194" s="2"/>
      <c r="F194" s="2"/>
    </row>
    <row r="195" spans="1:6">
      <c r="A195" s="4"/>
      <c r="B195" s="5"/>
      <c r="C195" s="5"/>
      <c r="D195" s="2"/>
      <c r="E195" s="2"/>
      <c r="F195" s="2"/>
    </row>
    <row r="196" spans="1:6">
      <c r="A196" s="4"/>
      <c r="B196" s="5"/>
      <c r="C196" s="5"/>
      <c r="D196" s="2"/>
      <c r="E196" s="2"/>
      <c r="F196" s="2"/>
    </row>
    <row r="197" spans="1:6">
      <c r="A197" s="4"/>
      <c r="B197" s="5"/>
      <c r="C197" s="5"/>
      <c r="D197" s="2"/>
      <c r="E197" s="2"/>
      <c r="F197" s="2"/>
    </row>
    <row r="198" spans="1:6">
      <c r="A198" s="4"/>
      <c r="B198" s="5"/>
      <c r="C198" s="5"/>
      <c r="D198" s="2"/>
      <c r="E198" s="2"/>
      <c r="F198" s="2"/>
    </row>
    <row r="199" spans="1:6">
      <c r="A199" s="4"/>
      <c r="B199" s="5"/>
      <c r="C199" s="5"/>
      <c r="D199" s="2"/>
      <c r="E199" s="2"/>
      <c r="F199" s="2"/>
    </row>
    <row r="200" spans="1:6">
      <c r="A200" s="4"/>
      <c r="B200" s="5"/>
      <c r="C200" s="5"/>
      <c r="D200" s="2"/>
      <c r="E200" s="2"/>
      <c r="F200" s="2"/>
    </row>
    <row r="201" spans="1:6">
      <c r="A201" s="4"/>
      <c r="B201" s="5"/>
      <c r="C201" s="5"/>
      <c r="D201" s="2"/>
      <c r="E201" s="2"/>
      <c r="F201" s="2"/>
    </row>
  </sheetData>
  <mergeCells count="1"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41548-C48C-4DF7-8308-C2DA1F416E28}">
  <dimension ref="A1:R60"/>
  <sheetViews>
    <sheetView topLeftCell="F46" workbookViewId="0">
      <selection activeCell="N12" sqref="N12:R12"/>
      <pivotSelection pane="bottomRight" showHeader="1" extendable="1" axis="axisRow" start="3" max="52" activeRow="11" activeCol="13" previousRow="11" previousCol="13" click="1" r:id="rId1">
        <pivotArea dataOnly="0" fieldPosition="0">
          <references count="1">
            <reference field="0" count="1">
              <x v="3"/>
            </reference>
          </references>
        </pivotArea>
      </pivotSelection>
    </sheetView>
  </sheetViews>
  <sheetFormatPr defaultRowHeight="15"/>
  <cols>
    <col min="1" max="1" width="17.42578125" bestFit="1" customWidth="1"/>
    <col min="2" max="2" width="9.5703125" bestFit="1" customWidth="1"/>
    <col min="3" max="3" width="9.85546875" bestFit="1" customWidth="1"/>
    <col min="4" max="4" width="7.28515625" bestFit="1" customWidth="1"/>
    <col min="5" max="5" width="8.5703125" bestFit="1" customWidth="1"/>
    <col min="6" max="6" width="17.42578125" bestFit="1" customWidth="1"/>
    <col min="7" max="7" width="22.42578125" bestFit="1" customWidth="1"/>
    <col min="8" max="8" width="9.85546875" bestFit="1" customWidth="1"/>
    <col min="14" max="14" width="13.42578125" bestFit="1" customWidth="1"/>
    <col min="15" max="15" width="19.7109375" bestFit="1" customWidth="1"/>
    <col min="16" max="16" width="17.42578125" bestFit="1" customWidth="1"/>
    <col min="17" max="17" width="18.7109375" bestFit="1" customWidth="1"/>
    <col min="18" max="18" width="20" bestFit="1" customWidth="1"/>
    <col min="19" max="22" width="9" bestFit="1" customWidth="1"/>
    <col min="23" max="23" width="7" bestFit="1" customWidth="1"/>
    <col min="24" max="25" width="9" bestFit="1" customWidth="1"/>
    <col min="26" max="27" width="7" bestFit="1" customWidth="1"/>
    <col min="28" max="28" width="9" bestFit="1" customWidth="1"/>
    <col min="29" max="29" width="7" bestFit="1" customWidth="1"/>
    <col min="30" max="31" width="9" bestFit="1" customWidth="1"/>
    <col min="32" max="32" width="7" bestFit="1" customWidth="1"/>
    <col min="33" max="34" width="9" bestFit="1" customWidth="1"/>
    <col min="35" max="35" width="7" bestFit="1" customWidth="1"/>
    <col min="36" max="40" width="9" bestFit="1" customWidth="1"/>
    <col min="41" max="42" width="7" bestFit="1" customWidth="1"/>
    <col min="43" max="46" width="9" bestFit="1" customWidth="1"/>
    <col min="47" max="47" width="7" bestFit="1" customWidth="1"/>
    <col min="48" max="53" width="9" bestFit="1" customWidth="1"/>
    <col min="54" max="54" width="7" bestFit="1" customWidth="1"/>
    <col min="55" max="57" width="9" bestFit="1" customWidth="1"/>
    <col min="58" max="59" width="7" bestFit="1" customWidth="1"/>
    <col min="60" max="61" width="9" bestFit="1" customWidth="1"/>
    <col min="62" max="62" width="9.5703125" bestFit="1" customWidth="1"/>
    <col min="63" max="63" width="7.28515625" bestFit="1" customWidth="1"/>
    <col min="64" max="64" width="11.28515625" bestFit="1" customWidth="1"/>
  </cols>
  <sheetData>
    <row r="1" spans="1:18">
      <c r="H1" s="23" t="s">
        <v>28</v>
      </c>
    </row>
    <row r="2" spans="1:18">
      <c r="A2" s="14" t="s">
        <v>11</v>
      </c>
      <c r="B2" s="15" t="s">
        <v>8</v>
      </c>
      <c r="C2" s="15" t="s">
        <v>7</v>
      </c>
      <c r="D2" s="16" t="s">
        <v>9</v>
      </c>
      <c r="E2" s="16" t="s">
        <v>10</v>
      </c>
      <c r="F2" s="14" t="s">
        <v>11</v>
      </c>
      <c r="G2" s="15" t="s">
        <v>8</v>
      </c>
      <c r="H2" s="15" t="s">
        <v>7</v>
      </c>
      <c r="I2" s="16" t="s">
        <v>9</v>
      </c>
      <c r="J2" s="16" t="s">
        <v>10</v>
      </c>
      <c r="K2" s="24"/>
    </row>
    <row r="3" spans="1:18">
      <c r="A3" s="17">
        <v>45446</v>
      </c>
      <c r="B3" s="5">
        <v>42654</v>
      </c>
      <c r="C3" s="5">
        <v>344084</v>
      </c>
      <c r="D3" s="2">
        <v>146834</v>
      </c>
      <c r="E3" s="2">
        <v>395536</v>
      </c>
      <c r="F3" s="17">
        <v>45446</v>
      </c>
      <c r="G3" s="15"/>
      <c r="H3" s="15"/>
      <c r="I3" s="16"/>
      <c r="J3" s="16"/>
    </row>
    <row r="4" spans="1:18">
      <c r="A4" s="17">
        <v>45453</v>
      </c>
      <c r="B4" s="5">
        <v>316555</v>
      </c>
      <c r="C4" s="5">
        <v>49157</v>
      </c>
      <c r="D4" s="2">
        <v>254347</v>
      </c>
      <c r="E4" s="2">
        <v>413878</v>
      </c>
      <c r="F4" s="17">
        <v>45453</v>
      </c>
      <c r="G4" s="2"/>
      <c r="H4" s="2"/>
      <c r="I4" s="2"/>
      <c r="J4" s="2"/>
    </row>
    <row r="5" spans="1:18">
      <c r="A5" s="17">
        <v>45460</v>
      </c>
      <c r="B5" s="5">
        <v>169496</v>
      </c>
      <c r="C5" s="5">
        <v>456946</v>
      </c>
      <c r="D5" s="2">
        <v>122732</v>
      </c>
      <c r="E5" s="2">
        <v>382851</v>
      </c>
      <c r="F5" s="17">
        <v>45460</v>
      </c>
      <c r="G5" s="2"/>
      <c r="H5" s="2"/>
      <c r="I5" s="2"/>
      <c r="J5" s="2"/>
    </row>
    <row r="6" spans="1:18">
      <c r="A6" s="17">
        <v>45467</v>
      </c>
      <c r="B6" s="5">
        <v>26295</v>
      </c>
      <c r="C6" s="5">
        <v>35664</v>
      </c>
      <c r="D6" s="2">
        <v>298421</v>
      </c>
      <c r="E6" s="2">
        <v>426184</v>
      </c>
      <c r="F6" s="17">
        <v>45467</v>
      </c>
      <c r="G6" s="2"/>
      <c r="H6" s="2"/>
      <c r="I6" s="2"/>
      <c r="J6" s="2"/>
    </row>
    <row r="7" spans="1:18">
      <c r="A7" s="17">
        <v>45474</v>
      </c>
      <c r="B7" s="5">
        <v>220020</v>
      </c>
      <c r="C7" s="5">
        <v>419447</v>
      </c>
      <c r="D7" s="2">
        <v>315305</v>
      </c>
      <c r="E7" s="2">
        <v>113678</v>
      </c>
      <c r="F7" s="17">
        <v>45474</v>
      </c>
      <c r="G7" s="2">
        <f>AVERAGE(B3:B7)</f>
        <v>155004</v>
      </c>
      <c r="H7" s="2">
        <f>AVERAGE(C3:C7)</f>
        <v>261059.6</v>
      </c>
      <c r="I7" s="2">
        <f>AVERAGE(D3:D7)</f>
        <v>227527.8</v>
      </c>
      <c r="J7" s="2">
        <f>AVERAGE(E3:E7)</f>
        <v>346425.4</v>
      </c>
    </row>
    <row r="8" spans="1:18">
      <c r="A8" s="17">
        <v>45481</v>
      </c>
      <c r="B8" s="5">
        <v>251694</v>
      </c>
      <c r="C8" s="5">
        <v>58223</v>
      </c>
      <c r="D8" s="2">
        <v>389810</v>
      </c>
      <c r="E8" s="2">
        <v>233694</v>
      </c>
      <c r="F8" s="17">
        <v>45481</v>
      </c>
      <c r="G8" s="2">
        <f t="shared" ref="G8:G53" si="0">AVERAGE(B4:B8)</f>
        <v>196812</v>
      </c>
      <c r="H8" s="2">
        <f t="shared" ref="H8:H53" si="1">AVERAGE(C4:C8)</f>
        <v>203887.4</v>
      </c>
      <c r="I8" s="2">
        <f t="shared" ref="I8:I53" si="2">AVERAGE(D4:D8)</f>
        <v>276123</v>
      </c>
      <c r="J8" s="2">
        <f t="shared" ref="J8:J53" si="3">AVERAGE(E4:E8)</f>
        <v>314057</v>
      </c>
      <c r="N8" s="7" t="s">
        <v>11</v>
      </c>
      <c r="O8" t="s">
        <v>29</v>
      </c>
      <c r="P8" t="s">
        <v>30</v>
      </c>
      <c r="Q8" t="s">
        <v>31</v>
      </c>
      <c r="R8" t="s">
        <v>32</v>
      </c>
    </row>
    <row r="9" spans="1:18">
      <c r="A9" s="17">
        <v>45488</v>
      </c>
      <c r="B9" s="5">
        <v>334626</v>
      </c>
      <c r="C9" s="5">
        <v>154169</v>
      </c>
      <c r="D9" s="2">
        <v>226002</v>
      </c>
      <c r="E9" s="2">
        <v>156683</v>
      </c>
      <c r="F9" s="17">
        <v>45488</v>
      </c>
      <c r="G9" s="2">
        <f t="shared" si="0"/>
        <v>200426.2</v>
      </c>
      <c r="H9" s="2">
        <f t="shared" si="1"/>
        <v>224889.8</v>
      </c>
      <c r="I9" s="2">
        <f t="shared" si="2"/>
        <v>270454</v>
      </c>
      <c r="J9" s="2">
        <f t="shared" si="3"/>
        <v>262618</v>
      </c>
      <c r="N9" s="9" t="s">
        <v>12</v>
      </c>
      <c r="O9">
        <v>376542</v>
      </c>
      <c r="P9">
        <v>449939.6</v>
      </c>
      <c r="Q9">
        <v>200465.8</v>
      </c>
      <c r="R9">
        <v>382855.4</v>
      </c>
    </row>
    <row r="10" spans="1:18">
      <c r="A10" s="17">
        <v>45495</v>
      </c>
      <c r="B10" s="5">
        <v>295032</v>
      </c>
      <c r="C10" s="5">
        <v>473812</v>
      </c>
      <c r="D10" s="2">
        <v>198278</v>
      </c>
      <c r="E10" s="2">
        <v>306564</v>
      </c>
      <c r="F10" s="17">
        <v>45495</v>
      </c>
      <c r="G10" s="2">
        <f t="shared" si="0"/>
        <v>225533.4</v>
      </c>
      <c r="H10" s="2">
        <f t="shared" si="1"/>
        <v>228263</v>
      </c>
      <c r="I10" s="2">
        <f t="shared" si="2"/>
        <v>285563.2</v>
      </c>
      <c r="J10" s="2">
        <f t="shared" si="3"/>
        <v>247360.6</v>
      </c>
      <c r="N10" s="25">
        <v>45446</v>
      </c>
    </row>
    <row r="11" spans="1:18">
      <c r="A11" s="17">
        <v>45502</v>
      </c>
      <c r="B11" s="5">
        <v>435034</v>
      </c>
      <c r="C11" s="5">
        <v>23664</v>
      </c>
      <c r="D11" s="2">
        <v>287574</v>
      </c>
      <c r="E11" s="2">
        <v>62499</v>
      </c>
      <c r="F11" s="17">
        <v>45502</v>
      </c>
      <c r="G11" s="2">
        <f t="shared" si="0"/>
        <v>307281.2</v>
      </c>
      <c r="H11" s="2">
        <f t="shared" si="1"/>
        <v>225863</v>
      </c>
      <c r="I11" s="2">
        <f t="shared" si="2"/>
        <v>283393.8</v>
      </c>
      <c r="J11" s="2">
        <f t="shared" si="3"/>
        <v>174623.6</v>
      </c>
      <c r="N11" s="25">
        <v>45453</v>
      </c>
    </row>
    <row r="12" spans="1:18">
      <c r="A12" s="17">
        <v>45509</v>
      </c>
      <c r="B12" s="5">
        <v>125034</v>
      </c>
      <c r="C12" s="5">
        <v>437968</v>
      </c>
      <c r="D12" s="2">
        <v>449994</v>
      </c>
      <c r="E12" s="2">
        <v>320650</v>
      </c>
      <c r="F12" s="17">
        <v>45509</v>
      </c>
      <c r="G12" s="2">
        <f t="shared" si="0"/>
        <v>288284</v>
      </c>
      <c r="H12" s="2">
        <f t="shared" si="1"/>
        <v>229567.2</v>
      </c>
      <c r="I12" s="2">
        <f t="shared" si="2"/>
        <v>310331.59999999998</v>
      </c>
      <c r="J12" s="2">
        <f t="shared" si="3"/>
        <v>216018</v>
      </c>
      <c r="N12" s="25">
        <v>45460</v>
      </c>
    </row>
    <row r="13" spans="1:18">
      <c r="A13" s="17">
        <v>45516</v>
      </c>
      <c r="B13" s="5">
        <v>307612</v>
      </c>
      <c r="C13" s="5">
        <v>489188</v>
      </c>
      <c r="D13" s="2">
        <v>434883</v>
      </c>
      <c r="E13" s="2">
        <v>102042</v>
      </c>
      <c r="F13" s="17">
        <v>45516</v>
      </c>
      <c r="G13" s="2">
        <f t="shared" si="0"/>
        <v>299467.59999999998</v>
      </c>
      <c r="H13" s="2">
        <f t="shared" si="1"/>
        <v>315760.2</v>
      </c>
      <c r="I13" s="2">
        <f t="shared" si="2"/>
        <v>319346.2</v>
      </c>
      <c r="J13" s="2">
        <f t="shared" si="3"/>
        <v>189687.6</v>
      </c>
      <c r="N13" s="25">
        <v>45467</v>
      </c>
    </row>
    <row r="14" spans="1:18">
      <c r="A14" s="17">
        <v>45523</v>
      </c>
      <c r="B14" s="5">
        <v>183924</v>
      </c>
      <c r="C14" s="5">
        <v>325444</v>
      </c>
      <c r="D14" s="2">
        <v>188655</v>
      </c>
      <c r="E14" s="2">
        <v>87443</v>
      </c>
      <c r="F14" s="17">
        <v>45523</v>
      </c>
      <c r="G14" s="2">
        <f t="shared" si="0"/>
        <v>269327.2</v>
      </c>
      <c r="H14" s="2">
        <f t="shared" si="1"/>
        <v>350015.2</v>
      </c>
      <c r="I14" s="2">
        <f t="shared" si="2"/>
        <v>311876.8</v>
      </c>
      <c r="J14" s="2">
        <f t="shared" si="3"/>
        <v>175839.6</v>
      </c>
      <c r="N14" s="25">
        <v>45474</v>
      </c>
      <c r="O14">
        <v>155004</v>
      </c>
      <c r="P14">
        <v>227527.8</v>
      </c>
      <c r="Q14">
        <v>346425.4</v>
      </c>
      <c r="R14">
        <v>261059.6</v>
      </c>
    </row>
    <row r="15" spans="1:18">
      <c r="A15" s="17">
        <v>45530</v>
      </c>
      <c r="B15" s="5">
        <v>379380</v>
      </c>
      <c r="C15" s="5">
        <v>453799</v>
      </c>
      <c r="D15" s="2">
        <v>186454</v>
      </c>
      <c r="E15" s="2">
        <v>239044</v>
      </c>
      <c r="F15" s="17">
        <v>45530</v>
      </c>
      <c r="G15" s="2">
        <f t="shared" si="0"/>
        <v>286196.8</v>
      </c>
      <c r="H15" s="2">
        <f t="shared" si="1"/>
        <v>346012.6</v>
      </c>
      <c r="I15" s="2">
        <f t="shared" si="2"/>
        <v>309512</v>
      </c>
      <c r="J15" s="2">
        <f t="shared" si="3"/>
        <v>162335.6</v>
      </c>
      <c r="N15" s="25">
        <v>45481</v>
      </c>
      <c r="O15">
        <v>196812</v>
      </c>
      <c r="P15">
        <v>276123</v>
      </c>
      <c r="Q15">
        <v>314057</v>
      </c>
      <c r="R15">
        <v>203887.4</v>
      </c>
    </row>
    <row r="16" spans="1:18">
      <c r="A16" s="17">
        <v>45537</v>
      </c>
      <c r="B16" s="5">
        <v>496982</v>
      </c>
      <c r="C16" s="5">
        <v>101332</v>
      </c>
      <c r="D16" s="2">
        <v>318779</v>
      </c>
      <c r="E16" s="2">
        <v>370971</v>
      </c>
      <c r="F16" s="17">
        <v>45537</v>
      </c>
      <c r="G16" s="2">
        <f t="shared" si="0"/>
        <v>298586.40000000002</v>
      </c>
      <c r="H16" s="2">
        <f t="shared" si="1"/>
        <v>361546.2</v>
      </c>
      <c r="I16" s="2">
        <f t="shared" si="2"/>
        <v>315753</v>
      </c>
      <c r="J16" s="2">
        <f t="shared" si="3"/>
        <v>224030</v>
      </c>
      <c r="N16" s="25">
        <v>45488</v>
      </c>
      <c r="O16">
        <v>200426.2</v>
      </c>
      <c r="P16">
        <v>270454</v>
      </c>
      <c r="Q16">
        <v>262618</v>
      </c>
      <c r="R16">
        <v>224889.8</v>
      </c>
    </row>
    <row r="17" spans="1:18">
      <c r="A17" s="17">
        <v>45544</v>
      </c>
      <c r="B17" s="5">
        <v>307524</v>
      </c>
      <c r="C17" s="5">
        <v>378054</v>
      </c>
      <c r="D17" s="2">
        <v>434047</v>
      </c>
      <c r="E17" s="2">
        <v>64583</v>
      </c>
      <c r="F17" s="17">
        <v>45544</v>
      </c>
      <c r="G17" s="2">
        <f t="shared" si="0"/>
        <v>335084.40000000002</v>
      </c>
      <c r="H17" s="2">
        <f t="shared" si="1"/>
        <v>349563.4</v>
      </c>
      <c r="I17" s="2">
        <f t="shared" si="2"/>
        <v>312563.59999999998</v>
      </c>
      <c r="J17" s="2">
        <f t="shared" si="3"/>
        <v>172816.6</v>
      </c>
      <c r="N17" s="25">
        <v>45495</v>
      </c>
      <c r="O17">
        <v>225533.4</v>
      </c>
      <c r="P17">
        <v>285563.2</v>
      </c>
      <c r="Q17">
        <v>247360.6</v>
      </c>
      <c r="R17">
        <v>228263</v>
      </c>
    </row>
    <row r="18" spans="1:18">
      <c r="A18" s="17">
        <v>45551</v>
      </c>
      <c r="B18" s="5">
        <v>474162</v>
      </c>
      <c r="C18" s="5">
        <v>50793</v>
      </c>
      <c r="D18" s="2">
        <v>392355</v>
      </c>
      <c r="E18" s="2">
        <v>119934</v>
      </c>
      <c r="F18" s="17">
        <v>45551</v>
      </c>
      <c r="G18" s="2">
        <f t="shared" si="0"/>
        <v>368394.4</v>
      </c>
      <c r="H18" s="2">
        <f t="shared" si="1"/>
        <v>261884.4</v>
      </c>
      <c r="I18" s="2">
        <f t="shared" si="2"/>
        <v>304058</v>
      </c>
      <c r="J18" s="2">
        <f t="shared" si="3"/>
        <v>176395</v>
      </c>
      <c r="N18" s="25">
        <v>45502</v>
      </c>
      <c r="O18">
        <v>307281.2</v>
      </c>
      <c r="P18">
        <v>283393.8</v>
      </c>
      <c r="Q18">
        <v>174623.6</v>
      </c>
      <c r="R18">
        <v>225863</v>
      </c>
    </row>
    <row r="19" spans="1:18">
      <c r="A19" s="17">
        <v>45558</v>
      </c>
      <c r="B19" s="5">
        <v>239753</v>
      </c>
      <c r="C19" s="5">
        <v>422625</v>
      </c>
      <c r="D19" s="2">
        <v>268516</v>
      </c>
      <c r="E19" s="2">
        <v>63177</v>
      </c>
      <c r="F19" s="17">
        <v>45558</v>
      </c>
      <c r="G19" s="2">
        <f t="shared" si="0"/>
        <v>379560.2</v>
      </c>
      <c r="H19" s="2">
        <f t="shared" si="1"/>
        <v>281320.59999999998</v>
      </c>
      <c r="I19" s="2">
        <f t="shared" si="2"/>
        <v>320030.2</v>
      </c>
      <c r="J19" s="2">
        <f t="shared" si="3"/>
        <v>171541.8</v>
      </c>
      <c r="N19" s="25">
        <v>45509</v>
      </c>
      <c r="O19">
        <v>288284</v>
      </c>
      <c r="P19">
        <v>310331.59999999998</v>
      </c>
      <c r="Q19">
        <v>216018</v>
      </c>
      <c r="R19">
        <v>229567.2</v>
      </c>
    </row>
    <row r="20" spans="1:18">
      <c r="A20" s="17">
        <v>45565</v>
      </c>
      <c r="B20" s="5">
        <v>453423</v>
      </c>
      <c r="C20" s="5">
        <v>370269</v>
      </c>
      <c r="D20" s="2">
        <v>64906</v>
      </c>
      <c r="E20" s="2">
        <v>94360</v>
      </c>
      <c r="F20" s="17">
        <v>45565</v>
      </c>
      <c r="G20" s="2">
        <f t="shared" si="0"/>
        <v>394368.8</v>
      </c>
      <c r="H20" s="2">
        <f t="shared" si="1"/>
        <v>264614.59999999998</v>
      </c>
      <c r="I20" s="2">
        <f t="shared" si="2"/>
        <v>295720.59999999998</v>
      </c>
      <c r="J20" s="2">
        <f t="shared" si="3"/>
        <v>142605</v>
      </c>
      <c r="N20" s="25">
        <v>45516</v>
      </c>
      <c r="O20">
        <v>299467.59999999998</v>
      </c>
      <c r="P20">
        <v>319346.2</v>
      </c>
      <c r="Q20">
        <v>189687.6</v>
      </c>
      <c r="R20">
        <v>315760.2</v>
      </c>
    </row>
    <row r="21" spans="1:18">
      <c r="A21" s="17">
        <v>45572</v>
      </c>
      <c r="B21" s="5">
        <v>379363</v>
      </c>
      <c r="C21" s="5">
        <v>187183</v>
      </c>
      <c r="D21" s="2">
        <v>476486</v>
      </c>
      <c r="E21" s="2">
        <v>117767</v>
      </c>
      <c r="F21" s="17">
        <v>45572</v>
      </c>
      <c r="G21" s="2">
        <f t="shared" si="0"/>
        <v>370845</v>
      </c>
      <c r="H21" s="2">
        <f t="shared" si="1"/>
        <v>281784.8</v>
      </c>
      <c r="I21" s="2">
        <f t="shared" si="2"/>
        <v>327262</v>
      </c>
      <c r="J21" s="2">
        <f t="shared" si="3"/>
        <v>91964.2</v>
      </c>
      <c r="N21" s="25">
        <v>45523</v>
      </c>
      <c r="O21">
        <v>269327.2</v>
      </c>
      <c r="P21">
        <v>311876.8</v>
      </c>
      <c r="Q21">
        <v>175839.6</v>
      </c>
      <c r="R21">
        <v>350015.2</v>
      </c>
    </row>
    <row r="22" spans="1:18">
      <c r="A22" s="17">
        <v>45579</v>
      </c>
      <c r="B22" s="5">
        <v>157599</v>
      </c>
      <c r="C22" s="5">
        <v>388555</v>
      </c>
      <c r="D22" s="2">
        <v>309772</v>
      </c>
      <c r="E22" s="2">
        <v>199178</v>
      </c>
      <c r="F22" s="17">
        <v>45579</v>
      </c>
      <c r="G22" s="2">
        <f t="shared" si="0"/>
        <v>340860</v>
      </c>
      <c r="H22" s="2">
        <f t="shared" si="1"/>
        <v>283885</v>
      </c>
      <c r="I22" s="2">
        <f t="shared" si="2"/>
        <v>302407</v>
      </c>
      <c r="J22" s="2">
        <f t="shared" si="3"/>
        <v>118883.2</v>
      </c>
      <c r="N22" s="25">
        <v>45530</v>
      </c>
      <c r="O22">
        <v>286196.8</v>
      </c>
      <c r="P22">
        <v>309512</v>
      </c>
      <c r="Q22">
        <v>162335.6</v>
      </c>
      <c r="R22">
        <v>346012.6</v>
      </c>
    </row>
    <row r="23" spans="1:18">
      <c r="A23" s="17">
        <v>45586</v>
      </c>
      <c r="B23" s="5">
        <v>23492</v>
      </c>
      <c r="C23" s="5">
        <v>357089</v>
      </c>
      <c r="D23" s="2">
        <v>258287</v>
      </c>
      <c r="E23" s="2">
        <v>256910</v>
      </c>
      <c r="F23" s="17">
        <v>45586</v>
      </c>
      <c r="G23" s="2">
        <f t="shared" si="0"/>
        <v>250726</v>
      </c>
      <c r="H23" s="2">
        <f t="shared" si="1"/>
        <v>345144.2</v>
      </c>
      <c r="I23" s="2">
        <f t="shared" si="2"/>
        <v>275593.40000000002</v>
      </c>
      <c r="J23" s="2">
        <f t="shared" si="3"/>
        <v>146278.39999999999</v>
      </c>
      <c r="N23" s="25">
        <v>45537</v>
      </c>
      <c r="O23">
        <v>298586.40000000002</v>
      </c>
      <c r="P23">
        <v>315753</v>
      </c>
      <c r="Q23">
        <v>224030</v>
      </c>
      <c r="R23">
        <v>361546.2</v>
      </c>
    </row>
    <row r="24" spans="1:18">
      <c r="A24" s="17">
        <v>45593</v>
      </c>
      <c r="B24" s="5">
        <v>209987</v>
      </c>
      <c r="C24" s="5">
        <v>346522</v>
      </c>
      <c r="D24" s="2">
        <v>240550</v>
      </c>
      <c r="E24" s="2">
        <v>305827</v>
      </c>
      <c r="F24" s="17">
        <v>45593</v>
      </c>
      <c r="G24" s="2">
        <f t="shared" si="0"/>
        <v>244772.8</v>
      </c>
      <c r="H24" s="2">
        <f t="shared" si="1"/>
        <v>329923.59999999998</v>
      </c>
      <c r="I24" s="2">
        <f t="shared" si="2"/>
        <v>270000.2</v>
      </c>
      <c r="J24" s="2">
        <f t="shared" si="3"/>
        <v>194808.4</v>
      </c>
      <c r="N24" s="25">
        <v>45544</v>
      </c>
      <c r="O24">
        <v>335084.40000000002</v>
      </c>
      <c r="P24">
        <v>312563.59999999998</v>
      </c>
      <c r="Q24">
        <v>172816.6</v>
      </c>
      <c r="R24">
        <v>349563.4</v>
      </c>
    </row>
    <row r="25" spans="1:18">
      <c r="A25" s="17">
        <v>45600</v>
      </c>
      <c r="B25" s="5">
        <v>319186</v>
      </c>
      <c r="C25" s="5">
        <v>54935</v>
      </c>
      <c r="D25" s="2">
        <v>439080</v>
      </c>
      <c r="E25" s="2">
        <v>258944</v>
      </c>
      <c r="F25" s="17">
        <v>45600</v>
      </c>
      <c r="G25" s="2">
        <f t="shared" si="0"/>
        <v>217925.4</v>
      </c>
      <c r="H25" s="2">
        <f t="shared" si="1"/>
        <v>266856.8</v>
      </c>
      <c r="I25" s="2">
        <f t="shared" si="2"/>
        <v>344835</v>
      </c>
      <c r="J25" s="2">
        <f t="shared" si="3"/>
        <v>227725.2</v>
      </c>
      <c r="N25" s="25">
        <v>45551</v>
      </c>
      <c r="O25">
        <v>368394.4</v>
      </c>
      <c r="P25">
        <v>304058</v>
      </c>
      <c r="Q25">
        <v>176395</v>
      </c>
      <c r="R25">
        <v>261884.4</v>
      </c>
    </row>
    <row r="26" spans="1:18">
      <c r="A26" s="17">
        <v>45607</v>
      </c>
      <c r="B26" s="5">
        <v>309483</v>
      </c>
      <c r="C26" s="5">
        <v>51395</v>
      </c>
      <c r="D26" s="2">
        <v>87305</v>
      </c>
      <c r="E26" s="2">
        <v>121091</v>
      </c>
      <c r="F26" s="17">
        <v>45607</v>
      </c>
      <c r="G26" s="2">
        <f t="shared" si="0"/>
        <v>203949.4</v>
      </c>
      <c r="H26" s="2">
        <f t="shared" si="1"/>
        <v>239699.20000000001</v>
      </c>
      <c r="I26" s="2">
        <f t="shared" si="2"/>
        <v>266998.8</v>
      </c>
      <c r="J26" s="2">
        <f t="shared" si="3"/>
        <v>228390</v>
      </c>
      <c r="N26" s="25">
        <v>45558</v>
      </c>
      <c r="O26">
        <v>379560.2</v>
      </c>
      <c r="P26">
        <v>320030.2</v>
      </c>
      <c r="Q26">
        <v>171541.8</v>
      </c>
      <c r="R26">
        <v>281320.59999999998</v>
      </c>
    </row>
    <row r="27" spans="1:18">
      <c r="A27" s="17">
        <v>45614</v>
      </c>
      <c r="B27" s="5">
        <v>338847</v>
      </c>
      <c r="C27" s="5">
        <v>51087</v>
      </c>
      <c r="D27" s="2">
        <v>487523</v>
      </c>
      <c r="E27" s="2">
        <v>301695</v>
      </c>
      <c r="F27" s="17">
        <v>45614</v>
      </c>
      <c r="G27" s="2">
        <f t="shared" si="0"/>
        <v>240199</v>
      </c>
      <c r="H27" s="2">
        <f t="shared" si="1"/>
        <v>172205.6</v>
      </c>
      <c r="I27" s="2">
        <f t="shared" si="2"/>
        <v>302549</v>
      </c>
      <c r="J27" s="2">
        <f t="shared" si="3"/>
        <v>248893.4</v>
      </c>
      <c r="N27" s="25">
        <v>45565</v>
      </c>
      <c r="O27">
        <v>394368.8</v>
      </c>
      <c r="P27">
        <v>295720.59999999998</v>
      </c>
      <c r="Q27">
        <v>142605</v>
      </c>
      <c r="R27">
        <v>264614.59999999998</v>
      </c>
    </row>
    <row r="28" spans="1:18">
      <c r="A28" s="17">
        <v>45621</v>
      </c>
      <c r="B28" s="5">
        <v>336661</v>
      </c>
      <c r="C28" s="5">
        <v>282466</v>
      </c>
      <c r="D28" s="2">
        <v>88455</v>
      </c>
      <c r="E28" s="2">
        <v>62535</v>
      </c>
      <c r="F28" s="17">
        <v>45621</v>
      </c>
      <c r="G28" s="2">
        <f t="shared" si="0"/>
        <v>302832.8</v>
      </c>
      <c r="H28" s="2">
        <f t="shared" si="1"/>
        <v>157281</v>
      </c>
      <c r="I28" s="2">
        <f t="shared" si="2"/>
        <v>268582.59999999998</v>
      </c>
      <c r="J28" s="2">
        <f t="shared" si="3"/>
        <v>210018.4</v>
      </c>
      <c r="N28" s="25">
        <v>45572</v>
      </c>
      <c r="O28">
        <v>370845</v>
      </c>
      <c r="P28">
        <v>327262</v>
      </c>
      <c r="Q28">
        <v>91964.2</v>
      </c>
      <c r="R28">
        <v>281784.8</v>
      </c>
    </row>
    <row r="29" spans="1:18">
      <c r="A29" s="17">
        <v>45628</v>
      </c>
      <c r="B29" s="5">
        <v>470269</v>
      </c>
      <c r="C29" s="5">
        <v>421957</v>
      </c>
      <c r="D29" s="2">
        <v>309904</v>
      </c>
      <c r="E29" s="2">
        <v>221274</v>
      </c>
      <c r="F29" s="17">
        <v>45628</v>
      </c>
      <c r="G29" s="2">
        <f t="shared" si="0"/>
        <v>354889.2</v>
      </c>
      <c r="H29" s="2">
        <f t="shared" si="1"/>
        <v>172368</v>
      </c>
      <c r="I29" s="2">
        <f t="shared" si="2"/>
        <v>282453.40000000002</v>
      </c>
      <c r="J29" s="2">
        <f t="shared" si="3"/>
        <v>193107.8</v>
      </c>
      <c r="N29" s="25">
        <v>45579</v>
      </c>
      <c r="O29">
        <v>340860</v>
      </c>
      <c r="P29">
        <v>302407</v>
      </c>
      <c r="Q29">
        <v>118883.2</v>
      </c>
      <c r="R29">
        <v>283885</v>
      </c>
    </row>
    <row r="30" spans="1:18">
      <c r="A30" s="17">
        <v>45635</v>
      </c>
      <c r="B30" s="5">
        <v>35842</v>
      </c>
      <c r="C30" s="5">
        <v>220616</v>
      </c>
      <c r="D30" s="2">
        <v>20607</v>
      </c>
      <c r="E30" s="2">
        <v>451894</v>
      </c>
      <c r="F30" s="17">
        <v>45635</v>
      </c>
      <c r="G30" s="2">
        <f t="shared" si="0"/>
        <v>298220.40000000002</v>
      </c>
      <c r="H30" s="2">
        <f t="shared" si="1"/>
        <v>205504.2</v>
      </c>
      <c r="I30" s="2">
        <f t="shared" si="2"/>
        <v>198758.8</v>
      </c>
      <c r="J30" s="2">
        <f t="shared" si="3"/>
        <v>231697.8</v>
      </c>
      <c r="N30" s="25">
        <v>45586</v>
      </c>
      <c r="O30">
        <v>250726</v>
      </c>
      <c r="P30">
        <v>275593.40000000002</v>
      </c>
      <c r="Q30">
        <v>146278.39999999999</v>
      </c>
      <c r="R30">
        <v>345144.2</v>
      </c>
    </row>
    <row r="31" spans="1:18">
      <c r="A31" s="17">
        <v>45642</v>
      </c>
      <c r="B31" s="5">
        <v>415815</v>
      </c>
      <c r="C31" s="5">
        <v>465553</v>
      </c>
      <c r="D31" s="2">
        <v>327183</v>
      </c>
      <c r="E31" s="2">
        <v>488901</v>
      </c>
      <c r="F31" s="17">
        <v>45642</v>
      </c>
      <c r="G31" s="2">
        <f t="shared" si="0"/>
        <v>319486.8</v>
      </c>
      <c r="H31" s="2">
        <f t="shared" si="1"/>
        <v>288335.8</v>
      </c>
      <c r="I31" s="2">
        <f t="shared" si="2"/>
        <v>246734.4</v>
      </c>
      <c r="J31" s="2">
        <f t="shared" si="3"/>
        <v>305259.8</v>
      </c>
      <c r="N31" s="25">
        <v>45593</v>
      </c>
      <c r="O31">
        <v>244772.8</v>
      </c>
      <c r="P31">
        <v>270000.2</v>
      </c>
      <c r="Q31">
        <v>194808.4</v>
      </c>
      <c r="R31">
        <v>329923.59999999998</v>
      </c>
    </row>
    <row r="32" spans="1:18">
      <c r="A32" s="17">
        <v>45649</v>
      </c>
      <c r="B32" s="5">
        <v>93347</v>
      </c>
      <c r="C32" s="5">
        <v>280795</v>
      </c>
      <c r="D32" s="2">
        <v>81119</v>
      </c>
      <c r="E32" s="2">
        <v>25177</v>
      </c>
      <c r="F32" s="17">
        <v>45649</v>
      </c>
      <c r="G32" s="2">
        <f t="shared" si="0"/>
        <v>270386.8</v>
      </c>
      <c r="H32" s="2">
        <f t="shared" si="1"/>
        <v>334277.40000000002</v>
      </c>
      <c r="I32" s="2">
        <f t="shared" si="2"/>
        <v>165453.6</v>
      </c>
      <c r="J32" s="2">
        <f t="shared" si="3"/>
        <v>249956.2</v>
      </c>
      <c r="N32" s="25">
        <v>45600</v>
      </c>
      <c r="O32">
        <v>217925.4</v>
      </c>
      <c r="P32">
        <v>344835</v>
      </c>
      <c r="Q32">
        <v>227725.2</v>
      </c>
      <c r="R32">
        <v>266856.8</v>
      </c>
    </row>
    <row r="33" spans="1:18">
      <c r="A33" s="17">
        <v>45656</v>
      </c>
      <c r="B33" s="5">
        <v>379431</v>
      </c>
      <c r="C33" s="5">
        <v>140804</v>
      </c>
      <c r="D33" s="2">
        <v>274831</v>
      </c>
      <c r="E33" s="2">
        <v>136845</v>
      </c>
      <c r="F33" s="17">
        <v>45656</v>
      </c>
      <c r="G33" s="2">
        <f t="shared" si="0"/>
        <v>278940.79999999999</v>
      </c>
      <c r="H33" s="2">
        <f t="shared" si="1"/>
        <v>305945</v>
      </c>
      <c r="I33" s="2">
        <f t="shared" si="2"/>
        <v>202728.8</v>
      </c>
      <c r="J33" s="2">
        <f t="shared" si="3"/>
        <v>264818.2</v>
      </c>
      <c r="N33" s="25">
        <v>45607</v>
      </c>
      <c r="O33">
        <v>203949.4</v>
      </c>
      <c r="P33">
        <v>266998.8</v>
      </c>
      <c r="Q33">
        <v>228390</v>
      </c>
      <c r="R33">
        <v>239699.20000000001</v>
      </c>
    </row>
    <row r="34" spans="1:18">
      <c r="A34" s="17">
        <v>45663</v>
      </c>
      <c r="B34" s="5">
        <v>95728</v>
      </c>
      <c r="C34" s="5">
        <v>466382</v>
      </c>
      <c r="D34" s="2">
        <v>371156</v>
      </c>
      <c r="E34" s="2">
        <v>95410</v>
      </c>
      <c r="F34" s="17">
        <v>45663</v>
      </c>
      <c r="G34" s="2">
        <f t="shared" si="0"/>
        <v>204032.6</v>
      </c>
      <c r="H34" s="2">
        <f t="shared" si="1"/>
        <v>314830</v>
      </c>
      <c r="I34" s="2">
        <f t="shared" si="2"/>
        <v>214979.20000000001</v>
      </c>
      <c r="J34" s="2">
        <f t="shared" si="3"/>
        <v>239645.4</v>
      </c>
      <c r="N34" s="25">
        <v>45614</v>
      </c>
      <c r="O34">
        <v>240199</v>
      </c>
      <c r="P34">
        <v>302549</v>
      </c>
      <c r="Q34">
        <v>248893.4</v>
      </c>
      <c r="R34">
        <v>172205.6</v>
      </c>
    </row>
    <row r="35" spans="1:18">
      <c r="A35" s="17">
        <v>45670</v>
      </c>
      <c r="B35" s="5">
        <v>224699</v>
      </c>
      <c r="C35" s="5">
        <v>349413</v>
      </c>
      <c r="D35" s="2">
        <v>487896</v>
      </c>
      <c r="E35" s="2">
        <v>14437</v>
      </c>
      <c r="F35" s="17">
        <v>45670</v>
      </c>
      <c r="G35" s="2">
        <f t="shared" si="0"/>
        <v>241804</v>
      </c>
      <c r="H35" s="2">
        <f t="shared" si="1"/>
        <v>340589.4</v>
      </c>
      <c r="I35" s="2">
        <f t="shared" si="2"/>
        <v>308437</v>
      </c>
      <c r="J35" s="2">
        <f t="shared" si="3"/>
        <v>152154</v>
      </c>
      <c r="N35" s="25">
        <v>45621</v>
      </c>
      <c r="O35">
        <v>302832.8</v>
      </c>
      <c r="P35">
        <v>268582.59999999998</v>
      </c>
      <c r="Q35">
        <v>210018.4</v>
      </c>
      <c r="R35">
        <v>157281</v>
      </c>
    </row>
    <row r="36" spans="1:18">
      <c r="A36" s="17">
        <v>45677</v>
      </c>
      <c r="B36" s="5">
        <v>479490</v>
      </c>
      <c r="C36" s="5">
        <v>383681</v>
      </c>
      <c r="D36" s="2">
        <v>124404</v>
      </c>
      <c r="E36" s="2">
        <v>336949</v>
      </c>
      <c r="F36" s="17">
        <v>45677</v>
      </c>
      <c r="G36" s="2">
        <f t="shared" si="0"/>
        <v>254539</v>
      </c>
      <c r="H36" s="2">
        <f t="shared" si="1"/>
        <v>324215</v>
      </c>
      <c r="I36" s="2">
        <f t="shared" si="2"/>
        <v>267881.2</v>
      </c>
      <c r="J36" s="2">
        <f t="shared" si="3"/>
        <v>121763.6</v>
      </c>
      <c r="N36" s="25">
        <v>45628</v>
      </c>
      <c r="O36">
        <v>354889.2</v>
      </c>
      <c r="P36">
        <v>282453.40000000002</v>
      </c>
      <c r="Q36">
        <v>193107.8</v>
      </c>
      <c r="R36">
        <v>172368</v>
      </c>
    </row>
    <row r="37" spans="1:18">
      <c r="A37" s="17">
        <v>45684</v>
      </c>
      <c r="B37" s="5">
        <v>321307</v>
      </c>
      <c r="C37" s="5">
        <v>357265</v>
      </c>
      <c r="D37" s="2">
        <v>262569</v>
      </c>
      <c r="E37" s="2">
        <v>461669</v>
      </c>
      <c r="F37" s="17">
        <v>45684</v>
      </c>
      <c r="G37" s="2">
        <f t="shared" si="0"/>
        <v>300131</v>
      </c>
      <c r="H37" s="2">
        <f t="shared" si="1"/>
        <v>339509</v>
      </c>
      <c r="I37" s="2">
        <f t="shared" si="2"/>
        <v>304171.2</v>
      </c>
      <c r="J37" s="2">
        <f t="shared" si="3"/>
        <v>209062</v>
      </c>
      <c r="N37" s="25">
        <v>45635</v>
      </c>
      <c r="O37">
        <v>298220.40000000002</v>
      </c>
      <c r="P37">
        <v>198758.8</v>
      </c>
      <c r="Q37">
        <v>231697.8</v>
      </c>
      <c r="R37">
        <v>205504.2</v>
      </c>
    </row>
    <row r="38" spans="1:18">
      <c r="A38" s="17">
        <v>45691</v>
      </c>
      <c r="B38" s="5">
        <v>135987</v>
      </c>
      <c r="C38" s="5">
        <v>351556</v>
      </c>
      <c r="D38" s="2">
        <v>177554</v>
      </c>
      <c r="E38" s="2">
        <v>270766</v>
      </c>
      <c r="F38" s="17">
        <v>45691</v>
      </c>
      <c r="G38" s="2">
        <f t="shared" si="0"/>
        <v>251442.2</v>
      </c>
      <c r="H38" s="2">
        <f t="shared" si="1"/>
        <v>381659.4</v>
      </c>
      <c r="I38" s="2">
        <f t="shared" si="2"/>
        <v>284715.8</v>
      </c>
      <c r="J38" s="2">
        <f t="shared" si="3"/>
        <v>235846.2</v>
      </c>
      <c r="N38" s="25">
        <v>45642</v>
      </c>
      <c r="O38">
        <v>319486.8</v>
      </c>
      <c r="P38">
        <v>246734.4</v>
      </c>
      <c r="Q38">
        <v>305259.8</v>
      </c>
      <c r="R38">
        <v>288335.8</v>
      </c>
    </row>
    <row r="39" spans="1:18">
      <c r="A39" s="17">
        <v>45698</v>
      </c>
      <c r="B39" s="5">
        <v>309914</v>
      </c>
      <c r="C39" s="5">
        <v>222126</v>
      </c>
      <c r="D39" s="2">
        <v>126582</v>
      </c>
      <c r="E39" s="2">
        <v>485280</v>
      </c>
      <c r="F39" s="17">
        <v>45698</v>
      </c>
      <c r="G39" s="2">
        <f t="shared" si="0"/>
        <v>294279.40000000002</v>
      </c>
      <c r="H39" s="2">
        <f t="shared" si="1"/>
        <v>332808.2</v>
      </c>
      <c r="I39" s="2">
        <f t="shared" si="2"/>
        <v>235801</v>
      </c>
      <c r="J39" s="2">
        <f t="shared" si="3"/>
        <v>313820.2</v>
      </c>
      <c r="N39" s="25">
        <v>45649</v>
      </c>
      <c r="O39">
        <v>270386.8</v>
      </c>
      <c r="P39">
        <v>165453.6</v>
      </c>
      <c r="Q39">
        <v>249956.2</v>
      </c>
      <c r="R39">
        <v>334277.40000000002</v>
      </c>
    </row>
    <row r="40" spans="1:18">
      <c r="A40" s="17">
        <v>45705</v>
      </c>
      <c r="B40" s="5">
        <v>104967</v>
      </c>
      <c r="C40" s="5">
        <v>453243</v>
      </c>
      <c r="D40" s="2">
        <v>145608</v>
      </c>
      <c r="E40" s="2">
        <v>105980</v>
      </c>
      <c r="F40" s="17">
        <v>45705</v>
      </c>
      <c r="G40" s="2">
        <f t="shared" si="0"/>
        <v>270333</v>
      </c>
      <c r="H40" s="2">
        <f t="shared" si="1"/>
        <v>353574.2</v>
      </c>
      <c r="I40" s="2">
        <f t="shared" si="2"/>
        <v>167343.4</v>
      </c>
      <c r="J40" s="2">
        <f t="shared" si="3"/>
        <v>332128.8</v>
      </c>
      <c r="N40" s="25">
        <v>45656</v>
      </c>
      <c r="O40">
        <v>278940.79999999999</v>
      </c>
      <c r="P40">
        <v>202728.8</v>
      </c>
      <c r="Q40">
        <v>264818.2</v>
      </c>
      <c r="R40">
        <v>305945</v>
      </c>
    </row>
    <row r="41" spans="1:18">
      <c r="A41" s="17">
        <v>45712</v>
      </c>
      <c r="B41" s="5">
        <v>230448</v>
      </c>
      <c r="C41" s="5">
        <v>126524</v>
      </c>
      <c r="D41" s="2">
        <v>317007</v>
      </c>
      <c r="E41" s="2">
        <v>464239</v>
      </c>
      <c r="F41" s="17">
        <v>45712</v>
      </c>
      <c r="G41" s="2">
        <f t="shared" si="0"/>
        <v>220524.6</v>
      </c>
      <c r="H41" s="2">
        <f t="shared" si="1"/>
        <v>302142.8</v>
      </c>
      <c r="I41" s="2">
        <f t="shared" si="2"/>
        <v>205864</v>
      </c>
      <c r="J41" s="2">
        <f t="shared" si="3"/>
        <v>357586.8</v>
      </c>
      <c r="N41" s="25">
        <v>45663</v>
      </c>
      <c r="O41">
        <v>204032.6</v>
      </c>
      <c r="P41">
        <v>214979.20000000001</v>
      </c>
      <c r="Q41">
        <v>239645.4</v>
      </c>
      <c r="R41">
        <v>314830</v>
      </c>
    </row>
    <row r="42" spans="1:18">
      <c r="A42" s="17">
        <v>45719</v>
      </c>
      <c r="B42" s="5">
        <v>366881</v>
      </c>
      <c r="C42" s="5">
        <v>257579</v>
      </c>
      <c r="D42" s="2">
        <v>466575</v>
      </c>
      <c r="E42" s="2">
        <v>224534</v>
      </c>
      <c r="F42" s="17">
        <v>45719</v>
      </c>
      <c r="G42" s="2">
        <f t="shared" si="0"/>
        <v>229639.4</v>
      </c>
      <c r="H42" s="2">
        <f t="shared" si="1"/>
        <v>282205.59999999998</v>
      </c>
      <c r="I42" s="2">
        <f t="shared" si="2"/>
        <v>246665.2</v>
      </c>
      <c r="J42" s="2">
        <f t="shared" si="3"/>
        <v>310159.8</v>
      </c>
      <c r="N42" s="25">
        <v>45670</v>
      </c>
      <c r="O42">
        <v>241804</v>
      </c>
      <c r="P42">
        <v>308437</v>
      </c>
      <c r="Q42">
        <v>152154</v>
      </c>
      <c r="R42">
        <v>340589.4</v>
      </c>
    </row>
    <row r="43" spans="1:18">
      <c r="A43" s="17">
        <v>45726</v>
      </c>
      <c r="B43" s="5">
        <v>340842</v>
      </c>
      <c r="C43" s="5">
        <v>462142</v>
      </c>
      <c r="D43" s="2">
        <v>12471</v>
      </c>
      <c r="E43" s="2">
        <v>98397</v>
      </c>
      <c r="F43" s="17">
        <v>45726</v>
      </c>
      <c r="G43" s="2">
        <f t="shared" si="0"/>
        <v>270610.40000000002</v>
      </c>
      <c r="H43" s="2">
        <f t="shared" si="1"/>
        <v>304322.8</v>
      </c>
      <c r="I43" s="2">
        <f t="shared" si="2"/>
        <v>213648.6</v>
      </c>
      <c r="J43" s="2">
        <f t="shared" si="3"/>
        <v>275686</v>
      </c>
      <c r="N43" s="25">
        <v>45677</v>
      </c>
      <c r="O43">
        <v>254539</v>
      </c>
      <c r="P43">
        <v>267881.2</v>
      </c>
      <c r="Q43">
        <v>121763.6</v>
      </c>
      <c r="R43">
        <v>324215</v>
      </c>
    </row>
    <row r="44" spans="1:18">
      <c r="A44" s="17">
        <v>45733</v>
      </c>
      <c r="B44" s="5">
        <v>342129</v>
      </c>
      <c r="C44" s="5">
        <v>410330</v>
      </c>
      <c r="D44" s="2">
        <v>12447</v>
      </c>
      <c r="E44" s="2">
        <v>17380</v>
      </c>
      <c r="F44" s="17">
        <v>45733</v>
      </c>
      <c r="G44" s="2">
        <f t="shared" si="0"/>
        <v>277053.40000000002</v>
      </c>
      <c r="H44" s="2">
        <f t="shared" si="1"/>
        <v>341963.6</v>
      </c>
      <c r="I44" s="2">
        <f t="shared" si="2"/>
        <v>190821.6</v>
      </c>
      <c r="J44" s="2">
        <f t="shared" si="3"/>
        <v>182106</v>
      </c>
      <c r="N44" s="25">
        <v>45684</v>
      </c>
      <c r="O44">
        <v>300131</v>
      </c>
      <c r="P44">
        <v>304171.2</v>
      </c>
      <c r="Q44">
        <v>209062</v>
      </c>
      <c r="R44">
        <v>339509</v>
      </c>
    </row>
    <row r="45" spans="1:18">
      <c r="A45" s="17">
        <v>45740</v>
      </c>
      <c r="B45" s="5">
        <v>373606</v>
      </c>
      <c r="C45" s="5">
        <v>364810</v>
      </c>
      <c r="D45" s="2">
        <v>211090</v>
      </c>
      <c r="E45" s="2">
        <v>441931</v>
      </c>
      <c r="F45" s="17">
        <v>45740</v>
      </c>
      <c r="G45" s="2">
        <f t="shared" si="0"/>
        <v>330781.2</v>
      </c>
      <c r="H45" s="2">
        <f t="shared" si="1"/>
        <v>324277</v>
      </c>
      <c r="I45" s="2">
        <f t="shared" si="2"/>
        <v>203918</v>
      </c>
      <c r="J45" s="2">
        <f t="shared" si="3"/>
        <v>249296.2</v>
      </c>
      <c r="N45" s="25">
        <v>45691</v>
      </c>
      <c r="O45">
        <v>251442.2</v>
      </c>
      <c r="P45">
        <v>284715.8</v>
      </c>
      <c r="Q45">
        <v>235846.2</v>
      </c>
      <c r="R45">
        <v>381659.4</v>
      </c>
    </row>
    <row r="46" spans="1:18">
      <c r="A46" s="17">
        <v>45747</v>
      </c>
      <c r="B46" s="5">
        <v>370070</v>
      </c>
      <c r="C46" s="5">
        <v>282780</v>
      </c>
      <c r="D46" s="2">
        <v>198350</v>
      </c>
      <c r="E46" s="2">
        <v>435726</v>
      </c>
      <c r="F46" s="17">
        <v>45747</v>
      </c>
      <c r="G46" s="2">
        <f t="shared" si="0"/>
        <v>358705.6</v>
      </c>
      <c r="H46" s="2">
        <f t="shared" si="1"/>
        <v>355528.2</v>
      </c>
      <c r="I46" s="2">
        <f t="shared" si="2"/>
        <v>180186.6</v>
      </c>
      <c r="J46" s="2">
        <f t="shared" si="3"/>
        <v>243593.60000000001</v>
      </c>
      <c r="N46" s="25">
        <v>45698</v>
      </c>
      <c r="O46">
        <v>294279.40000000002</v>
      </c>
      <c r="P46">
        <v>235801</v>
      </c>
      <c r="Q46">
        <v>313820.2</v>
      </c>
      <c r="R46">
        <v>332808.2</v>
      </c>
    </row>
    <row r="47" spans="1:18">
      <c r="A47" s="17">
        <v>45754</v>
      </c>
      <c r="B47" s="5">
        <v>98596</v>
      </c>
      <c r="C47" s="5">
        <v>78789</v>
      </c>
      <c r="D47" s="2">
        <v>29589</v>
      </c>
      <c r="E47" s="2">
        <v>290354</v>
      </c>
      <c r="F47" s="17">
        <v>45754</v>
      </c>
      <c r="G47" s="2">
        <f t="shared" si="0"/>
        <v>305048.59999999998</v>
      </c>
      <c r="H47" s="2">
        <f t="shared" si="1"/>
        <v>319770.2</v>
      </c>
      <c r="I47" s="2">
        <f t="shared" si="2"/>
        <v>92789.4</v>
      </c>
      <c r="J47" s="2">
        <f t="shared" si="3"/>
        <v>256757.6</v>
      </c>
      <c r="N47" s="25">
        <v>45705</v>
      </c>
      <c r="O47">
        <v>270333</v>
      </c>
      <c r="P47">
        <v>167343.4</v>
      </c>
      <c r="Q47">
        <v>332128.8</v>
      </c>
      <c r="R47">
        <v>353574.2</v>
      </c>
    </row>
    <row r="48" spans="1:18">
      <c r="A48" s="17">
        <v>45761</v>
      </c>
      <c r="B48" s="5">
        <v>70707</v>
      </c>
      <c r="C48" s="5">
        <v>66682</v>
      </c>
      <c r="D48" s="2">
        <v>142507</v>
      </c>
      <c r="E48" s="2">
        <v>369525</v>
      </c>
      <c r="F48" s="17">
        <v>45761</v>
      </c>
      <c r="G48" s="2">
        <f t="shared" si="0"/>
        <v>251021.6</v>
      </c>
      <c r="H48" s="2">
        <f t="shared" si="1"/>
        <v>240678.2</v>
      </c>
      <c r="I48" s="2">
        <f t="shared" si="2"/>
        <v>118796.6</v>
      </c>
      <c r="J48" s="2">
        <f t="shared" si="3"/>
        <v>310983.2</v>
      </c>
      <c r="N48" s="25">
        <v>45712</v>
      </c>
      <c r="O48">
        <v>220524.6</v>
      </c>
      <c r="P48">
        <v>205864</v>
      </c>
      <c r="Q48">
        <v>357586.8</v>
      </c>
      <c r="R48">
        <v>302142.8</v>
      </c>
    </row>
    <row r="49" spans="1:18">
      <c r="A49" s="17">
        <v>45768</v>
      </c>
      <c r="B49" s="5">
        <v>377382</v>
      </c>
      <c r="C49" s="5">
        <v>62942</v>
      </c>
      <c r="D49" s="2">
        <v>333851</v>
      </c>
      <c r="E49" s="2">
        <v>270958</v>
      </c>
      <c r="F49" s="17">
        <v>45768</v>
      </c>
      <c r="G49" s="2">
        <f t="shared" si="0"/>
        <v>258072.2</v>
      </c>
      <c r="H49" s="2">
        <f t="shared" si="1"/>
        <v>171200.6</v>
      </c>
      <c r="I49" s="2">
        <f t="shared" si="2"/>
        <v>183077.4</v>
      </c>
      <c r="J49" s="2">
        <f t="shared" si="3"/>
        <v>361698.8</v>
      </c>
      <c r="N49" s="25">
        <v>45719</v>
      </c>
      <c r="O49">
        <v>229639.4</v>
      </c>
      <c r="P49">
        <v>246665.2</v>
      </c>
      <c r="Q49">
        <v>310159.8</v>
      </c>
      <c r="R49">
        <v>282205.59999999998</v>
      </c>
    </row>
    <row r="50" spans="1:18">
      <c r="A50" s="17">
        <v>45775</v>
      </c>
      <c r="B50" s="5">
        <v>224830</v>
      </c>
      <c r="C50" s="5">
        <v>445944</v>
      </c>
      <c r="D50" s="2">
        <v>487289</v>
      </c>
      <c r="E50" s="2">
        <v>11435</v>
      </c>
      <c r="F50" s="17">
        <v>45775</v>
      </c>
      <c r="G50" s="2">
        <f t="shared" si="0"/>
        <v>228317</v>
      </c>
      <c r="H50" s="2">
        <f t="shared" si="1"/>
        <v>187427.4</v>
      </c>
      <c r="I50" s="2">
        <f t="shared" si="2"/>
        <v>238317.2</v>
      </c>
      <c r="J50" s="2">
        <f t="shared" si="3"/>
        <v>275599.59999999998</v>
      </c>
      <c r="N50" s="25">
        <v>45726</v>
      </c>
      <c r="O50">
        <v>270610.40000000002</v>
      </c>
      <c r="P50">
        <v>213648.6</v>
      </c>
      <c r="Q50">
        <v>275686</v>
      </c>
      <c r="R50">
        <v>304322.8</v>
      </c>
    </row>
    <row r="51" spans="1:18">
      <c r="A51" s="17">
        <v>45782</v>
      </c>
      <c r="B51" s="5">
        <v>418696</v>
      </c>
      <c r="C51" s="5">
        <v>447902</v>
      </c>
      <c r="D51" s="2">
        <v>484364</v>
      </c>
      <c r="E51" s="2">
        <v>148477</v>
      </c>
      <c r="F51" s="17">
        <v>45782</v>
      </c>
      <c r="G51" s="2">
        <f t="shared" si="0"/>
        <v>238042.2</v>
      </c>
      <c r="H51" s="2">
        <f t="shared" si="1"/>
        <v>220451.8</v>
      </c>
      <c r="I51" s="2">
        <f t="shared" si="2"/>
        <v>295520</v>
      </c>
      <c r="J51" s="2">
        <f t="shared" si="3"/>
        <v>218149.8</v>
      </c>
      <c r="N51" s="25">
        <v>45733</v>
      </c>
      <c r="O51">
        <v>277053.40000000002</v>
      </c>
      <c r="P51">
        <v>190821.6</v>
      </c>
      <c r="Q51">
        <v>182106</v>
      </c>
      <c r="R51">
        <v>341963.6</v>
      </c>
    </row>
    <row r="52" spans="1:18">
      <c r="A52" s="17">
        <v>45789</v>
      </c>
      <c r="B52" s="5">
        <v>364820</v>
      </c>
      <c r="C52" s="5">
        <v>468301</v>
      </c>
      <c r="D52" s="2">
        <v>456298</v>
      </c>
      <c r="E52" s="2">
        <v>82558</v>
      </c>
      <c r="F52" s="17">
        <v>45789</v>
      </c>
      <c r="G52" s="2">
        <f t="shared" si="0"/>
        <v>291287</v>
      </c>
      <c r="H52" s="2">
        <f t="shared" si="1"/>
        <v>298354.2</v>
      </c>
      <c r="I52" s="2">
        <f t="shared" si="2"/>
        <v>380861.8</v>
      </c>
      <c r="J52" s="2">
        <f t="shared" si="3"/>
        <v>176590.6</v>
      </c>
      <c r="N52" s="25">
        <v>45740</v>
      </c>
      <c r="O52">
        <v>330781.2</v>
      </c>
      <c r="P52">
        <v>203918</v>
      </c>
      <c r="Q52">
        <v>249296.2</v>
      </c>
      <c r="R52">
        <v>324277</v>
      </c>
    </row>
    <row r="53" spans="1:18">
      <c r="A53" s="18" t="s">
        <v>12</v>
      </c>
      <c r="B53" s="5">
        <v>496982</v>
      </c>
      <c r="C53" s="5">
        <v>489188</v>
      </c>
      <c r="D53" s="2">
        <v>487896</v>
      </c>
      <c r="E53" s="2">
        <v>488901</v>
      </c>
      <c r="F53" s="18" t="s">
        <v>12</v>
      </c>
      <c r="G53" s="2">
        <f t="shared" si="0"/>
        <v>376542</v>
      </c>
      <c r="H53" s="2">
        <f t="shared" si="1"/>
        <v>382855.4</v>
      </c>
      <c r="I53" s="2">
        <f t="shared" si="2"/>
        <v>449939.6</v>
      </c>
      <c r="J53" s="2">
        <f t="shared" si="3"/>
        <v>200465.8</v>
      </c>
      <c r="N53" s="25">
        <v>45747</v>
      </c>
      <c r="O53">
        <v>358705.6</v>
      </c>
      <c r="P53">
        <v>180186.6</v>
      </c>
      <c r="Q53">
        <v>243593.60000000001</v>
      </c>
      <c r="R53">
        <v>355528.2</v>
      </c>
    </row>
    <row r="54" spans="1:18">
      <c r="N54" s="25">
        <v>45754</v>
      </c>
      <c r="O54">
        <v>305048.59999999998</v>
      </c>
      <c r="P54">
        <v>92789.4</v>
      </c>
      <c r="Q54">
        <v>256757.6</v>
      </c>
      <c r="R54">
        <v>319770.2</v>
      </c>
    </row>
    <row r="55" spans="1:18">
      <c r="N55" s="25">
        <v>45761</v>
      </c>
      <c r="O55">
        <v>251021.6</v>
      </c>
      <c r="P55">
        <v>118796.6</v>
      </c>
      <c r="Q55">
        <v>310983.2</v>
      </c>
      <c r="R55">
        <v>240678.2</v>
      </c>
    </row>
    <row r="56" spans="1:18">
      <c r="N56" s="25">
        <v>45768</v>
      </c>
      <c r="O56">
        <v>258072.2</v>
      </c>
      <c r="P56">
        <v>183077.4</v>
      </c>
      <c r="Q56">
        <v>361698.8</v>
      </c>
      <c r="R56">
        <v>171200.6</v>
      </c>
    </row>
    <row r="57" spans="1:18">
      <c r="N57" s="25">
        <v>45775</v>
      </c>
      <c r="O57">
        <v>228317</v>
      </c>
      <c r="P57">
        <v>238317.2</v>
      </c>
      <c r="Q57">
        <v>275599.59999999998</v>
      </c>
      <c r="R57">
        <v>187427.4</v>
      </c>
    </row>
    <row r="58" spans="1:18">
      <c r="N58" s="25">
        <v>45782</v>
      </c>
      <c r="O58">
        <v>238042.2</v>
      </c>
      <c r="P58">
        <v>295520</v>
      </c>
      <c r="Q58">
        <v>218149.8</v>
      </c>
      <c r="R58">
        <v>220451.8</v>
      </c>
    </row>
    <row r="59" spans="1:18">
      <c r="N59" s="25">
        <v>45789</v>
      </c>
      <c r="O59">
        <v>291287</v>
      </c>
      <c r="P59">
        <v>380861.8</v>
      </c>
      <c r="Q59">
        <v>176590.6</v>
      </c>
      <c r="R59">
        <v>298354.2</v>
      </c>
    </row>
    <row r="60" spans="1:18">
      <c r="N60" s="9" t="s">
        <v>12</v>
      </c>
      <c r="O60">
        <v>279799.30638297863</v>
      </c>
      <c r="P60">
        <v>263411.60851063824</v>
      </c>
      <c r="Q60">
        <v>227898.91063829785</v>
      </c>
      <c r="R60">
        <v>285230.22978723398</v>
      </c>
    </row>
  </sheetData>
  <pageMargins left="0.7" right="0.7" top="0.75" bottom="0.75" header="0.3" footer="0.3"/>
  <ignoredErrors>
    <ignoredError sqref="G7:J53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C9FD5-3C9F-4F3C-883E-80584DFAC90A}">
  <dimension ref="A1"/>
  <sheetViews>
    <sheetView tabSelected="1" topLeftCell="A7" zoomScale="95" zoomScaleNormal="95" workbookViewId="0">
      <selection activeCell="R20" sqref="R20"/>
    </sheetView>
  </sheetViews>
  <sheetFormatPr defaultRowHeight="15"/>
  <cols>
    <col min="1" max="16384" width="9.140625" style="42"/>
  </cols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9450CAF-8F5A-4443-8984-6F6C5D4B13B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Engagement Summary</vt:lpstr>
      <vt:lpstr>Pivot</vt:lpstr>
      <vt:lpstr>Calculation</vt:lpstr>
      <vt:lpstr>Moving average calculation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Saumya Jain</dc:creator>
  <cp:lastModifiedBy>Saumya Jain</cp:lastModifiedBy>
  <dcterms:created xsi:type="dcterms:W3CDTF">2025-10-11T09:21:13Z</dcterms:created>
  <dcterms:modified xsi:type="dcterms:W3CDTF">2025-10-13T16:41:57Z</dcterms:modified>
</cp:coreProperties>
</file>